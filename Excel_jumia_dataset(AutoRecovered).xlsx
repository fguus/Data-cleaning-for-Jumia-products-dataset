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105aae643cb04d4/Desktop/jumia dataset/"/>
    </mc:Choice>
  </mc:AlternateContent>
  <xr:revisionPtr revIDLastSave="0" documentId="8_{90722C55-45DD-425E-AB42-74EC4CE3F7E4}" xr6:coauthVersionLast="47" xr6:coauthVersionMax="47" xr10:uidLastSave="{00000000-0000-0000-0000-000000000000}"/>
  <bookViews>
    <workbookView xWindow="-120" yWindow="-120" windowWidth="29040" windowHeight="15720" activeTab="2" xr2:uid="{A52B7A46-FBFE-41FE-AF51-3C642C3CC406}"/>
  </bookViews>
  <sheets>
    <sheet name="Excel_jumia_dataset(AutoRecover" sheetId="14" r:id="rId1"/>
    <sheet name="Excel_jumia_dataset" sheetId="1" r:id="rId2"/>
    <sheet name="Ave rate &amp; discount percentage" sheetId="3" r:id="rId3"/>
    <sheet name="AVE RATING &amp; REVIEWS" sheetId="8" r:id="rId4"/>
    <sheet name="AVE REVIEW RELATION WITH RATING" sheetId="10" r:id="rId5"/>
    <sheet name="DISCOUNT % &amp; REVIEW RELATION" sheetId="9" r:id="rId6"/>
    <sheet name="TOP 10 HIGHEST RATING" sheetId="13" r:id="rId7"/>
    <sheet name="TOP 10 HIGHEST REVIEW" sheetId="12" r:id="rId8"/>
    <sheet name="TOP 10 Highest discount" sheetId="2" r:id="rId9"/>
  </sheets>
  <definedNames>
    <definedName name="_xlnm._FilterDatabase" localSheetId="1" hidden="1">Excel_jumia_dataset!$F$1:$F$116</definedName>
    <definedName name="Slicer_DISCOUNT_PERCENTAGE">#N/A</definedName>
    <definedName name="Slicer_PRODUCT_CATEGORY">#N/A</definedName>
    <definedName name="Slicer_RATING_5">#N/A</definedName>
  </definedNames>
  <calcPr calcId="191029"/>
  <pivotCaches>
    <pivotCache cacheId="66"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7" i="1" l="1"/>
  <c r="D117" i="1"/>
  <c r="E117" i="1"/>
  <c r="C117" i="1"/>
  <c r="B117" i="1"/>
  <c r="G117" i="1"/>
  <c r="G2" i="2"/>
  <c r="H2" i="2"/>
  <c r="I2" i="2"/>
  <c r="G3" i="2"/>
  <c r="H3" i="2"/>
  <c r="I3" i="2"/>
  <c r="G4" i="2"/>
  <c r="H4" i="2"/>
  <c r="I4" i="2"/>
  <c r="G5" i="2"/>
  <c r="H5" i="2"/>
  <c r="I5" i="2"/>
  <c r="G6" i="2"/>
  <c r="H6" i="2"/>
  <c r="I6" i="2"/>
  <c r="G7" i="2"/>
  <c r="H7" i="2"/>
  <c r="I7" i="2"/>
  <c r="G8" i="2"/>
  <c r="H8" i="2"/>
  <c r="I8" i="2"/>
  <c r="G9" i="2"/>
  <c r="H9" i="2"/>
  <c r="I9" i="2"/>
  <c r="G10" i="2"/>
  <c r="H10" i="2"/>
  <c r="I10" i="2"/>
  <c r="I64" i="1"/>
  <c r="I37" i="1"/>
  <c r="I25" i="1"/>
  <c r="I49" i="1"/>
  <c r="I85" i="1"/>
  <c r="I39" i="1"/>
  <c r="I51" i="1"/>
  <c r="I9" i="1"/>
  <c r="I12" i="1"/>
  <c r="I95" i="1"/>
  <c r="I57" i="1"/>
  <c r="I63" i="1"/>
  <c r="I75" i="1"/>
  <c r="I30" i="1"/>
  <c r="I78" i="1"/>
  <c r="I99" i="1"/>
  <c r="I5" i="1"/>
  <c r="I41" i="1"/>
  <c r="I21" i="1"/>
  <c r="I108" i="1"/>
  <c r="I11" i="1"/>
  <c r="I65" i="1"/>
  <c r="I61" i="1"/>
  <c r="I3" i="1"/>
  <c r="I93" i="1"/>
  <c r="I45" i="1"/>
  <c r="I46" i="1"/>
  <c r="I36" i="1"/>
  <c r="I6" i="1"/>
  <c r="I96" i="1"/>
  <c r="I58" i="1"/>
  <c r="I8" i="1"/>
  <c r="I40" i="1"/>
  <c r="I38" i="1"/>
  <c r="I15" i="1"/>
  <c r="I97" i="1"/>
  <c r="I86" i="1"/>
  <c r="I53" i="1"/>
  <c r="I7" i="1"/>
  <c r="I67" i="1"/>
  <c r="I89" i="1"/>
  <c r="I68" i="1"/>
  <c r="I69" i="1"/>
  <c r="I112" i="1"/>
  <c r="I18" i="1"/>
  <c r="I50" i="1"/>
  <c r="I43" i="1"/>
  <c r="I35" i="1"/>
  <c r="I83" i="1"/>
  <c r="I84" i="1"/>
  <c r="I111" i="1"/>
  <c r="I105" i="1"/>
  <c r="I110" i="1"/>
  <c r="I55" i="1"/>
  <c r="I73" i="1"/>
  <c r="I44" i="1"/>
  <c r="I34" i="1"/>
  <c r="I16" i="1"/>
  <c r="I62" i="1"/>
  <c r="I80" i="1"/>
  <c r="I56" i="1"/>
  <c r="I2" i="1"/>
  <c r="I72" i="1"/>
  <c r="I76" i="1"/>
  <c r="I79" i="1"/>
  <c r="I29" i="1"/>
  <c r="I19" i="1"/>
  <c r="I4" i="1"/>
  <c r="I81" i="1"/>
  <c r="I24" i="1"/>
  <c r="I88" i="1"/>
  <c r="I74" i="1"/>
  <c r="I27" i="1"/>
  <c r="I10" i="1"/>
  <c r="I42" i="1"/>
  <c r="I59" i="1"/>
  <c r="I106" i="1"/>
  <c r="I94" i="1"/>
  <c r="I17" i="1"/>
  <c r="I23" i="1"/>
  <c r="I28" i="1"/>
  <c r="I114" i="1"/>
  <c r="I82" i="1"/>
  <c r="I70" i="1"/>
  <c r="I98" i="1"/>
  <c r="I91" i="1"/>
  <c r="I87" i="1"/>
  <c r="I103" i="1"/>
  <c r="I47" i="1"/>
  <c r="I92" i="1"/>
  <c r="I66" i="1"/>
  <c r="I26" i="1"/>
  <c r="I13" i="1"/>
  <c r="I104" i="1"/>
  <c r="I31" i="1"/>
  <c r="I32" i="1"/>
  <c r="I14" i="1"/>
  <c r="I102" i="1"/>
  <c r="I113" i="1"/>
  <c r="I90" i="1"/>
  <c r="I100" i="1"/>
  <c r="I60" i="1"/>
  <c r="I33" i="1"/>
  <c r="I22" i="1"/>
  <c r="I20" i="1"/>
  <c r="I116" i="1"/>
  <c r="I107" i="1"/>
  <c r="I52" i="1"/>
  <c r="I48" i="1"/>
  <c r="I109" i="1"/>
  <c r="I115" i="1"/>
  <c r="I77" i="1"/>
  <c r="I71" i="1"/>
  <c r="I101" i="1"/>
  <c r="I54" i="1"/>
  <c r="H54" i="1"/>
  <c r="H64" i="1"/>
  <c r="H37" i="1"/>
  <c r="H25" i="1"/>
  <c r="H49" i="1"/>
  <c r="H85" i="1"/>
  <c r="H39" i="1"/>
  <c r="H51" i="1"/>
  <c r="H9" i="1"/>
  <c r="H12" i="1"/>
  <c r="H95" i="1"/>
  <c r="H57" i="1"/>
  <c r="H63" i="1"/>
  <c r="H75" i="1"/>
  <c r="H30" i="1"/>
  <c r="H78" i="1"/>
  <c r="H99" i="1"/>
  <c r="H5" i="1"/>
  <c r="H41" i="1"/>
  <c r="H21" i="1"/>
  <c r="H108" i="1"/>
  <c r="H11" i="1"/>
  <c r="H65" i="1"/>
  <c r="H61" i="1"/>
  <c r="H3" i="1"/>
  <c r="H93" i="1"/>
  <c r="H45" i="1"/>
  <c r="H46" i="1"/>
  <c r="H36" i="1"/>
  <c r="H6" i="1"/>
  <c r="H96" i="1"/>
  <c r="H58" i="1"/>
  <c r="H8" i="1"/>
  <c r="H40" i="1"/>
  <c r="H38" i="1"/>
  <c r="H15" i="1"/>
  <c r="H97" i="1"/>
  <c r="H86" i="1"/>
  <c r="H53" i="1"/>
  <c r="H7" i="1"/>
  <c r="H67" i="1"/>
  <c r="H89" i="1"/>
  <c r="H68" i="1"/>
  <c r="H69" i="1"/>
  <c r="H112" i="1"/>
  <c r="H18" i="1"/>
  <c r="H50" i="1"/>
  <c r="H43" i="1"/>
  <c r="H35" i="1"/>
  <c r="H83" i="1"/>
  <c r="H84" i="1"/>
  <c r="H111" i="1"/>
  <c r="H105" i="1"/>
  <c r="H110" i="1"/>
  <c r="H55" i="1"/>
  <c r="H73" i="1"/>
  <c r="H44" i="1"/>
  <c r="H34" i="1"/>
  <c r="H16" i="1"/>
  <c r="H62" i="1"/>
  <c r="H80" i="1"/>
  <c r="H56" i="1"/>
  <c r="H2" i="1"/>
  <c r="H72" i="1"/>
  <c r="H76" i="1"/>
  <c r="H79" i="1"/>
  <c r="H29" i="1"/>
  <c r="H19" i="1"/>
  <c r="H4" i="1"/>
  <c r="H81" i="1"/>
  <c r="H24" i="1"/>
  <c r="H88" i="1"/>
  <c r="H74" i="1"/>
  <c r="H27" i="1"/>
  <c r="H10" i="1"/>
  <c r="H42" i="1"/>
  <c r="H59" i="1"/>
  <c r="H106" i="1"/>
  <c r="H94" i="1"/>
  <c r="H17" i="1"/>
  <c r="H23" i="1"/>
  <c r="H28" i="1"/>
  <c r="H114" i="1"/>
  <c r="H82" i="1"/>
  <c r="H70" i="1"/>
  <c r="H98" i="1"/>
  <c r="H91" i="1"/>
  <c r="H87" i="1"/>
  <c r="H103" i="1"/>
  <c r="H47" i="1"/>
  <c r="H92" i="1"/>
  <c r="H66" i="1"/>
  <c r="H26" i="1"/>
  <c r="H13" i="1"/>
  <c r="H104" i="1"/>
  <c r="H31" i="1"/>
  <c r="H32" i="1"/>
  <c r="H14" i="1"/>
  <c r="H102" i="1"/>
  <c r="H113" i="1"/>
  <c r="H90" i="1"/>
  <c r="H100" i="1"/>
  <c r="H60" i="1"/>
  <c r="H33" i="1"/>
  <c r="H22" i="1"/>
  <c r="H20" i="1"/>
  <c r="H116" i="1"/>
  <c r="H107" i="1"/>
  <c r="H52" i="1"/>
  <c r="H48" i="1"/>
  <c r="H109" i="1"/>
  <c r="H115" i="1"/>
  <c r="H77" i="1"/>
  <c r="H71" i="1"/>
  <c r="H101" i="1"/>
  <c r="G54" i="1"/>
  <c r="G75" i="1"/>
  <c r="G62" i="1"/>
  <c r="G89" i="1"/>
  <c r="G23" i="1"/>
  <c r="G70" i="1"/>
  <c r="G28" i="1"/>
  <c r="G83" i="1"/>
  <c r="G13" i="1"/>
  <c r="G57" i="1"/>
  <c r="G88" i="1"/>
  <c r="G55" i="1"/>
  <c r="G93" i="1"/>
  <c r="G38" i="1"/>
  <c r="G34" i="1"/>
  <c r="G63" i="1"/>
  <c r="G61" i="1"/>
  <c r="G85" i="1"/>
  <c r="G21" i="1"/>
  <c r="G101" i="1"/>
  <c r="G95" i="1"/>
  <c r="G24" i="1"/>
  <c r="G80" i="1"/>
  <c r="G2" i="1"/>
  <c r="G76" i="1"/>
  <c r="G19" i="1"/>
  <c r="G109" i="1"/>
  <c r="G97" i="1"/>
  <c r="G43" i="1"/>
  <c r="G60" i="1"/>
  <c r="G68" i="1"/>
  <c r="G86" i="1"/>
  <c r="G111" i="1"/>
  <c r="G31" i="1"/>
  <c r="G27" i="1"/>
  <c r="G6" i="1"/>
  <c r="G4" i="1"/>
  <c r="G48" i="1"/>
  <c r="G82" i="1"/>
  <c r="G106" i="1"/>
  <c r="G98" i="1"/>
  <c r="G46" i="1"/>
  <c r="G5" i="1"/>
  <c r="G107" i="1"/>
  <c r="G14" i="1"/>
  <c r="G40" i="1"/>
  <c r="G87" i="1"/>
  <c r="G53" i="1"/>
  <c r="G45" i="1"/>
  <c r="G77" i="1"/>
  <c r="G50" i="1"/>
  <c r="G58" i="1"/>
  <c r="G84" i="1"/>
  <c r="G52" i="1"/>
  <c r="G91" i="1"/>
  <c r="G29" i="1"/>
  <c r="G39" i="1"/>
  <c r="G36" i="1"/>
  <c r="G94" i="1"/>
  <c r="G26" i="1"/>
  <c r="G110" i="1"/>
  <c r="G105" i="1"/>
  <c r="G65" i="1"/>
  <c r="G9" i="1"/>
  <c r="G22" i="1"/>
  <c r="G112" i="1"/>
  <c r="G25" i="1"/>
  <c r="G15" i="1"/>
  <c r="G78" i="1"/>
  <c r="G72" i="1"/>
  <c r="G47" i="1"/>
  <c r="G74" i="1"/>
  <c r="G66" i="1"/>
  <c r="G51" i="1"/>
  <c r="G79" i="1"/>
  <c r="G8" i="1"/>
  <c r="G108" i="1"/>
  <c r="G3" i="1"/>
  <c r="G59" i="1"/>
  <c r="G12" i="1"/>
  <c r="G69" i="1"/>
  <c r="G42" i="1"/>
  <c r="G11" i="1"/>
  <c r="G37" i="1"/>
  <c r="G96" i="1"/>
  <c r="G18" i="1"/>
  <c r="G32" i="1"/>
  <c r="G102" i="1"/>
  <c r="G99" i="1"/>
  <c r="G92" i="1"/>
  <c r="G10" i="1"/>
  <c r="G64" i="1"/>
  <c r="G73" i="1"/>
  <c r="G16" i="1"/>
  <c r="G49" i="1"/>
  <c r="G104" i="1"/>
  <c r="G56" i="1"/>
  <c r="G103" i="1"/>
  <c r="G71" i="1"/>
  <c r="G100" i="1"/>
  <c r="G90" i="1"/>
  <c r="G30" i="1"/>
  <c r="G44" i="1"/>
  <c r="G116" i="1"/>
  <c r="G7" i="1"/>
  <c r="G113" i="1"/>
  <c r="G41" i="1"/>
  <c r="G114" i="1"/>
  <c r="G35" i="1"/>
  <c r="G20" i="1"/>
  <c r="G81" i="1"/>
  <c r="G67" i="1"/>
  <c r="G17" i="1"/>
  <c r="G115" i="1"/>
  <c r="G33" i="1"/>
</calcChain>
</file>

<file path=xl/sharedStrings.xml><?xml version="1.0" encoding="utf-8"?>
<sst xmlns="http://schemas.openxmlformats.org/spreadsheetml/2006/main" count="260" uniqueCount="149">
  <si>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</si>
  <si>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</si>
  <si>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</si>
  <si>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</si>
  <si>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</si>
  <si>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</si>
  <si>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</si>
  <si>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</si>
  <si>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</si>
  <si>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</si>
  <si>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</si>
  <si>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</si>
  <si>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</si>
  <si>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</si>
  <si>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</si>
  <si>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</si>
  <si>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</si>
  <si>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</si>
  <si>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</si>
  <si>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</si>
  <si>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</si>
  <si>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</si>
  <si>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</si>
  <si>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</si>
  <si>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</si>
  <si>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</si>
  <si>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</si>
  <si>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</si>
  <si>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</si>
  <si>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</si>
  <si>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</si>
  <si>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</si>
  <si>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</si>
  <si>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</si>
  <si>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</si>
  <si>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</si>
  <si>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</si>
  <si>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</si>
  <si>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</si>
  <si>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</si>
  <si>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</si>
  <si>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</si>
  <si>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</si>
  <si>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</si>
  <si>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</si>
  <si>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</si>
  <si>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</si>
  <si>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</si>
  <si>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</si>
  <si>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</si>
  <si>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</si>
  <si>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</si>
  <si>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</si>
  <si>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</si>
  <si>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</si>
  <si>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</si>
  <si>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</si>
  <si>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</si>
  <si>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</si>
  <si>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</si>
  <si>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</si>
  <si>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</si>
  <si>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</si>
  <si>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</si>
  <si>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</si>
  <si>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</si>
  <si>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</si>
  <si>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</si>
  <si>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</si>
  <si>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</si>
  <si>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</si>
  <si>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</si>
  <si>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</si>
  <si>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</si>
  <si>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</si>
  <si>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</si>
  <si>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</si>
  <si>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</si>
  <si>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</si>
  <si>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</si>
  <si>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</si>
  <si>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</si>
  <si>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</si>
  <si>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</si>
  <si>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</si>
  <si>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</si>
  <si>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</si>
  <si>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</si>
  <si>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</si>
  <si>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</si>
  <si>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</si>
  <si>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</si>
  <si>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</si>
  <si>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</si>
  <si>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</si>
  <si>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</si>
  <si>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</si>
  <si>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</si>
  <si>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</si>
  <si>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</si>
  <si>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</si>
  <si>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</si>
  <si>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</si>
  <si>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</si>
  <si>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</si>
  <si>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</si>
  <si>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</si>
  <si>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</si>
  <si>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</si>
  <si>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PRODUCT</t>
  </si>
  <si>
    <t>CURRENT PRICE</t>
  </si>
  <si>
    <t>OLD PRICE</t>
  </si>
  <si>
    <t>REVIEW</t>
  </si>
  <si>
    <t>DISCOUNT PERCENTAGE</t>
  </si>
  <si>
    <t>PRODUCT CATEGORY</t>
  </si>
  <si>
    <t>ABSOLUTE DISCOUNT AMOUNT</t>
  </si>
  <si>
    <t>RATING CATEGORY</t>
  </si>
  <si>
    <t>Row Labels</t>
  </si>
  <si>
    <t>Low Discount</t>
  </si>
  <si>
    <t>Medium Discount</t>
  </si>
  <si>
    <t>Grand Total</t>
  </si>
  <si>
    <t>Average of DISCOUNT PERCENTAGE</t>
  </si>
  <si>
    <t>RATING/5</t>
  </si>
  <si>
    <t>Poor</t>
  </si>
  <si>
    <t>Average</t>
  </si>
  <si>
    <t>Excellent</t>
  </si>
  <si>
    <t>Average of REVIEW</t>
  </si>
  <si>
    <t>High Discount</t>
  </si>
  <si>
    <t>Average of RATING/5</t>
  </si>
  <si>
    <t>0.01-0.11</t>
  </si>
  <si>
    <t>0.11-0.21</t>
  </si>
  <si>
    <t>0.21-0.31</t>
  </si>
  <si>
    <t>0.31-0.41</t>
  </si>
  <si>
    <t>0.41-0.51</t>
  </si>
  <si>
    <t>0.51-0.61</t>
  </si>
  <si>
    <t>0.61-0.71</t>
  </si>
  <si>
    <t>&lt;0 or (blank)</t>
  </si>
  <si>
    <t>0-4</t>
  </si>
  <si>
    <t>5-9</t>
  </si>
  <si>
    <t>10-14</t>
  </si>
  <si>
    <t>15-19</t>
  </si>
  <si>
    <t>20-24</t>
  </si>
  <si>
    <t>30-34</t>
  </si>
  <si>
    <t>35-39</t>
  </si>
  <si>
    <t>40-44</t>
  </si>
  <si>
    <t>45-49</t>
  </si>
  <si>
    <t>55-59</t>
  </si>
  <si>
    <t>65-70</t>
  </si>
  <si>
    <t>Average of CURRENT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</si>
</sst>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9" fontId="0" fillId="0" borderId="0" xfId="0" applyNumberFormat="1"/>
    <xf numFmtId="0" fontId="13" fillId="33" borderId="0" xfId="0" applyFont="1" applyFill="1"/>
    <xf numFmtId="2" fontId="13" fillId="33" borderId="0" xfId="0" applyNumberFormat="1" applyFont="1" applyFill="1"/>
    <xf numFmtId="2" fontId="0" fillId="0" borderId="0" xfId="0" applyNumberFormat="1"/>
    <xf numFmtId="0" fontId="0" fillId="34" borderId="0" xfId="0" applyFill="1"/>
    <xf numFmtId="2" fontId="0" fillId="34" borderId="0" xfId="0" applyNumberFormat="1" applyFill="1"/>
    <xf numFmtId="9" fontId="13" fillId="33" borderId="0" xfId="42" applyFont="1" applyFill="1"/>
    <xf numFmtId="9" fontId="0" fillId="0" borderId="0" xfId="42" applyFont="1"/>
    <xf numFmtId="9" fontId="0" fillId="34" borderId="0" xfId="42" applyFont="1" applyFill="1"/>
    <xf numFmtId="0" fontId="13" fillId="34" borderId="0" xfId="0" applyFont="1" applyFill="1"/>
    <xf numFmtId="0" fontId="0" fillId="0" borderId="0" xfId="0" pivotButton="1"/>
    <xf numFmtId="0" fontId="0" fillId="0" borderId="0" xfId="0" applyAlignment="1">
      <alignment horizontal="left"/>
    </xf>
    <xf numFmtId="0" fontId="0" fillId="0" borderId="0" xfId="0" applyNumberFormat="1"/>
    <xf numFmtId="9" fontId="0" fillId="0" borderId="0" xfId="0" applyNumberFormat="1" applyAlignment="1">
      <alignment horizontal="left"/>
    </xf>
    <xf numFmtId="10" fontId="0" fillId="0" borderId="0" xfId="42" applyNumberFormat="1" applyFont="1"/>
    <xf numFmtId="0" fontId="0" fillId="35" borderId="0" xfId="0" applyFill="1"/>
    <xf numFmtId="0" fontId="13" fillId="33" borderId="0" xfId="0" applyNumberFormat="1" applyFont="1" applyFill="1"/>
    <xf numFmtId="10" fontId="0" fillId="0" borderId="0" xfId="0" pivotButton="1" applyNumberFormat="1"/>
    <xf numFmtId="10"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numFmt numFmtId="14" formatCode="0.0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[Excel_jumia_dataset(AutoRecovered).xlsx]DISCOUNT % &amp; REVIEW RELATION!PivotTable6</c:name>
    <c:fmtId val="20"/>
  </c:pivotSource>
  <c:chart>
    <c:title>
      <c:tx>
        <c:rich>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r>
              <a:rPr lang="en-US" sz="1100">
                <a:solidFill>
                  <a:schemeClr val="accent1">
                    <a:lumMod val="75000"/>
                  </a:schemeClr>
                </a:solidFill>
              </a:rPr>
              <a:t>PRODUCTS</a:t>
            </a:r>
            <a:r>
              <a:rPr lang="en-US" sz="1100" baseline="0">
                <a:solidFill>
                  <a:schemeClr val="accent1">
                    <a:lumMod val="75000"/>
                  </a:schemeClr>
                </a:solidFill>
              </a:rPr>
              <a:t> </a:t>
            </a:r>
            <a:r>
              <a:rPr lang="en-US" sz="1100">
                <a:solidFill>
                  <a:schemeClr val="accent1">
                    <a:lumMod val="75000"/>
                  </a:schemeClr>
                </a:solidFill>
              </a:rPr>
              <a:t>DISCOUNT</a:t>
            </a:r>
            <a:r>
              <a:rPr lang="en-US" sz="1100" baseline="0">
                <a:solidFill>
                  <a:schemeClr val="accent1">
                    <a:lumMod val="75000"/>
                  </a:schemeClr>
                </a:solidFill>
              </a:rPr>
              <a:t> PERCENTAGE AND PRICE IN RELATION TO REVIEWS</a:t>
            </a:r>
            <a:endParaRPr lang="en-US" sz="1100">
              <a:solidFill>
                <a:schemeClr val="accent1">
                  <a:lumMod val="75000"/>
                </a:schemeClr>
              </a:solidFill>
            </a:endParaRPr>
          </a:p>
        </c:rich>
      </c:tx>
      <c:layout>
        <c:manualLayout>
          <c:xMode val="edge"/>
          <c:yMode val="edge"/>
          <c:x val="0.13845122484689415"/>
          <c:y val="0.11934966462525518"/>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 &amp; REVIEW RELATION'!$B$1</c:f>
              <c:strCache>
                <c:ptCount val="1"/>
                <c:pt idx="0">
                  <c:v>Average of REVIEW</c:v>
                </c:pt>
              </c:strCache>
            </c:strRef>
          </c:tx>
          <c:spPr>
            <a:solidFill>
              <a:schemeClr val="accent6">
                <a:tint val="77000"/>
              </a:schemeClr>
            </a:solidFill>
            <a:ln>
              <a:noFill/>
            </a:ln>
            <a:effectLst/>
          </c:spPr>
          <c:invertIfNegative val="0"/>
          <c:cat>
            <c:strRef>
              <c:f>'DISCOUNT % &amp; REVIEW RELATION'!$A$2:$A$9</c:f>
              <c:strCache>
                <c:ptCount val="7"/>
                <c:pt idx="0">
                  <c:v>0.01-0.11</c:v>
                </c:pt>
                <c:pt idx="1">
                  <c:v>0.11-0.21</c:v>
                </c:pt>
                <c:pt idx="2">
                  <c:v>0.21-0.31</c:v>
                </c:pt>
                <c:pt idx="3">
                  <c:v>0.31-0.41</c:v>
                </c:pt>
                <c:pt idx="4">
                  <c:v>0.41-0.51</c:v>
                </c:pt>
                <c:pt idx="5">
                  <c:v>0.51-0.61</c:v>
                </c:pt>
                <c:pt idx="6">
                  <c:v>0.61-0.71</c:v>
                </c:pt>
              </c:strCache>
            </c:strRef>
          </c:cat>
          <c:val>
            <c:numRef>
              <c:f>'DISCOUNT % &amp; REVIEW RELATION'!$B$2:$B$9</c:f>
              <c:numCache>
                <c:formatCode>General</c:formatCode>
                <c:ptCount val="7"/>
                <c:pt idx="0">
                  <c:v>15</c:v>
                </c:pt>
                <c:pt idx="1">
                  <c:v>8.75</c:v>
                </c:pt>
                <c:pt idx="2">
                  <c:v>19.2</c:v>
                </c:pt>
                <c:pt idx="3">
                  <c:v>12.25</c:v>
                </c:pt>
                <c:pt idx="4">
                  <c:v>12.285714285714286</c:v>
                </c:pt>
                <c:pt idx="5">
                  <c:v>8.4444444444444446</c:v>
                </c:pt>
              </c:numCache>
            </c:numRef>
          </c:val>
          <c:extLst>
            <c:ext xmlns:c16="http://schemas.microsoft.com/office/drawing/2014/chart" uri="{C3380CC4-5D6E-409C-BE32-E72D297353CC}">
              <c16:uniqueId val="{00000000-BECB-41A0-AED7-2F7CB5F0CEBA}"/>
            </c:ext>
          </c:extLst>
        </c:ser>
        <c:dLbls>
          <c:showLegendKey val="0"/>
          <c:showVal val="0"/>
          <c:showCatName val="0"/>
          <c:showSerName val="0"/>
          <c:showPercent val="0"/>
          <c:showBubbleSize val="0"/>
        </c:dLbls>
        <c:gapWidth val="219"/>
        <c:axId val="764538456"/>
        <c:axId val="764534856"/>
      </c:barChart>
      <c:lineChart>
        <c:grouping val="standard"/>
        <c:varyColors val="0"/>
        <c:ser>
          <c:idx val="1"/>
          <c:order val="1"/>
          <c:tx>
            <c:strRef>
              <c:f>'DISCOUNT % &amp; REVIEW RELATION'!$C$1</c:f>
              <c:strCache>
                <c:ptCount val="1"/>
                <c:pt idx="0">
                  <c:v>Average of CURRENT PRICE</c:v>
                </c:pt>
              </c:strCache>
            </c:strRef>
          </c:tx>
          <c:spPr>
            <a:ln w="28575" cap="rnd">
              <a:solidFill>
                <a:schemeClr val="accent6">
                  <a:shade val="76000"/>
                </a:schemeClr>
              </a:solidFill>
              <a:round/>
            </a:ln>
            <a:effectLst/>
          </c:spPr>
          <c:marker>
            <c:symbol val="none"/>
          </c:marker>
          <c:cat>
            <c:strRef>
              <c:f>'DISCOUNT % &amp; REVIEW RELATION'!$A$2:$A$9</c:f>
              <c:strCache>
                <c:ptCount val="7"/>
                <c:pt idx="0">
                  <c:v>0.01-0.11</c:v>
                </c:pt>
                <c:pt idx="1">
                  <c:v>0.11-0.21</c:v>
                </c:pt>
                <c:pt idx="2">
                  <c:v>0.21-0.31</c:v>
                </c:pt>
                <c:pt idx="3">
                  <c:v>0.31-0.41</c:v>
                </c:pt>
                <c:pt idx="4">
                  <c:v>0.41-0.51</c:v>
                </c:pt>
                <c:pt idx="5">
                  <c:v>0.51-0.61</c:v>
                </c:pt>
                <c:pt idx="6">
                  <c:v>0.61-0.71</c:v>
                </c:pt>
              </c:strCache>
            </c:strRef>
          </c:cat>
          <c:val>
            <c:numRef>
              <c:f>'DISCOUNT % &amp; REVIEW RELATION'!$C$2:$C$9</c:f>
              <c:numCache>
                <c:formatCode>0.00</c:formatCode>
                <c:ptCount val="7"/>
                <c:pt idx="0">
                  <c:v>1956.9166666666667</c:v>
                </c:pt>
                <c:pt idx="1">
                  <c:v>1797.2857142857142</c:v>
                </c:pt>
                <c:pt idx="2">
                  <c:v>1849.3846153846155</c:v>
                </c:pt>
                <c:pt idx="3">
                  <c:v>1430.4444444444443</c:v>
                </c:pt>
                <c:pt idx="4">
                  <c:v>778.75471698113211</c:v>
                </c:pt>
                <c:pt idx="5">
                  <c:v>734.5</c:v>
                </c:pt>
                <c:pt idx="6">
                  <c:v>199</c:v>
                </c:pt>
              </c:numCache>
            </c:numRef>
          </c:val>
          <c:smooth val="0"/>
          <c:extLst>
            <c:ext xmlns:c16="http://schemas.microsoft.com/office/drawing/2014/chart" uri="{C3380CC4-5D6E-409C-BE32-E72D297353CC}">
              <c16:uniqueId val="{00000001-BECB-41A0-AED7-2F7CB5F0CEBA}"/>
            </c:ext>
          </c:extLst>
        </c:ser>
        <c:dLbls>
          <c:showLegendKey val="0"/>
          <c:showVal val="0"/>
          <c:showCatName val="0"/>
          <c:showSerName val="0"/>
          <c:showPercent val="0"/>
          <c:showBubbleSize val="0"/>
        </c:dLbls>
        <c:marker val="1"/>
        <c:smooth val="0"/>
        <c:axId val="780029544"/>
        <c:axId val="780025584"/>
      </c:lineChart>
      <c:catAx>
        <c:axId val="76453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34856"/>
        <c:crosses val="autoZero"/>
        <c:auto val="1"/>
        <c:lblAlgn val="ctr"/>
        <c:lblOffset val="100"/>
        <c:noMultiLvlLbl val="0"/>
      </c:catAx>
      <c:valAx>
        <c:axId val="764534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38456"/>
        <c:crosses val="autoZero"/>
        <c:crossBetween val="between"/>
      </c:valAx>
      <c:valAx>
        <c:axId val="7800255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29544"/>
        <c:crosses val="max"/>
        <c:crossBetween val="between"/>
      </c:valAx>
      <c:catAx>
        <c:axId val="780029544"/>
        <c:scaling>
          <c:orientation val="minMax"/>
        </c:scaling>
        <c:delete val="1"/>
        <c:axPos val="b"/>
        <c:numFmt formatCode="General" sourceLinked="1"/>
        <c:majorTickMark val="out"/>
        <c:minorTickMark val="none"/>
        <c:tickLblPos val="nextTo"/>
        <c:crossAx val="7800255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[Excel_jumia_dataset(AutoRecovered).xlsx]AVE REVIEW RELATION WITH RATING!PivotTable7</c:name>
    <c:fmtId val="19"/>
  </c:pivotSource>
  <c:chart>
    <c:title>
      <c:tx>
        <c:rich>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r>
              <a:rPr lang="en-US" sz="1100" baseline="0">
                <a:solidFill>
                  <a:schemeClr val="accent1">
                    <a:lumMod val="75000"/>
                  </a:schemeClr>
                </a:solidFill>
              </a:rPr>
              <a:t>PRODUCT RATING IN RELATION TO PRODUCT REVIEW </a:t>
            </a:r>
            <a:endParaRPr lang="en-US" sz="11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 REVIEW RELATION WITH RATING'!$B$3</c:f>
              <c:strCache>
                <c:ptCount val="1"/>
                <c:pt idx="0">
                  <c:v>Total</c:v>
                </c:pt>
              </c:strCache>
            </c:strRef>
          </c:tx>
          <c:spPr>
            <a:solidFill>
              <a:schemeClr val="accent6"/>
            </a:solidFill>
            <a:ln>
              <a:noFill/>
            </a:ln>
            <a:effectLst/>
          </c:spPr>
          <c:invertIfNegative val="0"/>
          <c:cat>
            <c:strRef>
              <c:f>'AVE REVIEW RELATION WITH RATING'!$A$4:$A$16</c:f>
              <c:strCache>
                <c:ptCount val="12"/>
                <c:pt idx="0">
                  <c:v>&lt;0 or (blank)</c:v>
                </c:pt>
                <c:pt idx="1">
                  <c:v>0-4</c:v>
                </c:pt>
                <c:pt idx="2">
                  <c:v>5-9</c:v>
                </c:pt>
                <c:pt idx="3">
                  <c:v>10-14</c:v>
                </c:pt>
                <c:pt idx="4">
                  <c:v>15-19</c:v>
                </c:pt>
                <c:pt idx="5">
                  <c:v>20-24</c:v>
                </c:pt>
                <c:pt idx="6">
                  <c:v>30-34</c:v>
                </c:pt>
                <c:pt idx="7">
                  <c:v>35-39</c:v>
                </c:pt>
                <c:pt idx="8">
                  <c:v>40-44</c:v>
                </c:pt>
                <c:pt idx="9">
                  <c:v>45-49</c:v>
                </c:pt>
                <c:pt idx="10">
                  <c:v>55-59</c:v>
                </c:pt>
                <c:pt idx="11">
                  <c:v>65-70</c:v>
                </c:pt>
              </c:strCache>
            </c:strRef>
          </c:cat>
          <c:val>
            <c:numRef>
              <c:f>'AVE REVIEW RELATION WITH RATING'!$B$4:$B$16</c:f>
              <c:numCache>
                <c:formatCode>General</c:formatCode>
                <c:ptCount val="12"/>
                <c:pt idx="1">
                  <c:v>4.384615384615385</c:v>
                </c:pt>
                <c:pt idx="2">
                  <c:v>3.5449999999999995</c:v>
                </c:pt>
                <c:pt idx="3">
                  <c:v>3.8100000000000009</c:v>
                </c:pt>
                <c:pt idx="4">
                  <c:v>3.05</c:v>
                </c:pt>
                <c:pt idx="5">
                  <c:v>4.4666666666666659</c:v>
                </c:pt>
                <c:pt idx="6">
                  <c:v>4.5</c:v>
                </c:pt>
                <c:pt idx="7">
                  <c:v>4.5</c:v>
                </c:pt>
                <c:pt idx="8">
                  <c:v>4.5999999999999996</c:v>
                </c:pt>
                <c:pt idx="9">
                  <c:v>4.5999999999999996</c:v>
                </c:pt>
                <c:pt idx="10">
                  <c:v>4.5999999999999996</c:v>
                </c:pt>
                <c:pt idx="11">
                  <c:v>2.8</c:v>
                </c:pt>
              </c:numCache>
            </c:numRef>
          </c:val>
          <c:extLst>
            <c:ext xmlns:c16="http://schemas.microsoft.com/office/drawing/2014/chart" uri="{C3380CC4-5D6E-409C-BE32-E72D297353CC}">
              <c16:uniqueId val="{00000000-8B2B-4BDA-A235-3143BDF4CA0A}"/>
            </c:ext>
          </c:extLst>
        </c:ser>
        <c:dLbls>
          <c:showLegendKey val="0"/>
          <c:showVal val="0"/>
          <c:showCatName val="0"/>
          <c:showSerName val="0"/>
          <c:showPercent val="0"/>
          <c:showBubbleSize val="0"/>
        </c:dLbls>
        <c:gapWidth val="219"/>
        <c:overlap val="100"/>
        <c:axId val="468668560"/>
        <c:axId val="468668200"/>
      </c:barChart>
      <c:catAx>
        <c:axId val="4686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68200"/>
        <c:crosses val="autoZero"/>
        <c:auto val="1"/>
        <c:lblAlgn val="ctr"/>
        <c:lblOffset val="100"/>
        <c:noMultiLvlLbl val="0"/>
      </c:catAx>
      <c:valAx>
        <c:axId val="468668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6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[Excel_jumia_dataset(AutoRecovered).xlsx]AVE RATING &amp; REVIEWS!PivotTable5</c:name>
    <c:fmtId val="1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PRODUCT</a:t>
            </a:r>
            <a:r>
              <a:rPr lang="en-US" sz="1100" baseline="0"/>
              <a:t> CATEGORY</a:t>
            </a:r>
            <a:r>
              <a:rPr lang="en-US" sz="1100"/>
              <a:t> IN</a:t>
            </a:r>
            <a:r>
              <a:rPr lang="en-US" sz="1100" baseline="0"/>
              <a:t> RELATION TO AVERAGE REVIEW AND RATING</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 RATING &amp; REVIEWS'!$B$1</c:f>
              <c:strCache>
                <c:ptCount val="1"/>
                <c:pt idx="0">
                  <c:v>Average of REVIEW</c:v>
                </c:pt>
              </c:strCache>
            </c:strRef>
          </c:tx>
          <c:spPr>
            <a:ln w="28575" cap="rnd">
              <a:solidFill>
                <a:schemeClr val="accent6">
                  <a:tint val="77000"/>
                </a:schemeClr>
              </a:solidFill>
              <a:round/>
            </a:ln>
            <a:effectLst/>
          </c:spPr>
          <c:marker>
            <c:symbol val="none"/>
          </c:marker>
          <c:cat>
            <c:strRef>
              <c:f>'AVE RATING &amp; REVIEWS'!$A$2:$A$5</c:f>
              <c:strCache>
                <c:ptCount val="3"/>
                <c:pt idx="0">
                  <c:v>Low Discount</c:v>
                </c:pt>
                <c:pt idx="1">
                  <c:v>Medium Discount</c:v>
                </c:pt>
                <c:pt idx="2">
                  <c:v>High Discount</c:v>
                </c:pt>
              </c:strCache>
            </c:strRef>
          </c:cat>
          <c:val>
            <c:numRef>
              <c:f>'AVE RATING &amp; REVIEWS'!$B$2:$B$5</c:f>
              <c:numCache>
                <c:formatCode>General</c:formatCode>
                <c:ptCount val="3"/>
                <c:pt idx="0">
                  <c:v>9.5</c:v>
                </c:pt>
                <c:pt idx="1">
                  <c:v>15.260869565217391</c:v>
                </c:pt>
                <c:pt idx="2">
                  <c:v>11.133333333333333</c:v>
                </c:pt>
              </c:numCache>
            </c:numRef>
          </c:val>
          <c:smooth val="0"/>
          <c:extLst>
            <c:ext xmlns:c16="http://schemas.microsoft.com/office/drawing/2014/chart" uri="{C3380CC4-5D6E-409C-BE32-E72D297353CC}">
              <c16:uniqueId val="{00000000-2997-4C27-9354-9AAEF1616B10}"/>
            </c:ext>
          </c:extLst>
        </c:ser>
        <c:ser>
          <c:idx val="1"/>
          <c:order val="1"/>
          <c:tx>
            <c:strRef>
              <c:f>'AVE RATING &amp; REVIEWS'!$C$1</c:f>
              <c:strCache>
                <c:ptCount val="1"/>
                <c:pt idx="0">
                  <c:v>Average of RATING/5</c:v>
                </c:pt>
              </c:strCache>
            </c:strRef>
          </c:tx>
          <c:spPr>
            <a:ln w="28575" cap="rnd">
              <a:solidFill>
                <a:schemeClr val="accent6">
                  <a:shade val="76000"/>
                </a:schemeClr>
              </a:solidFill>
              <a:round/>
            </a:ln>
            <a:effectLst/>
          </c:spPr>
          <c:marker>
            <c:symbol val="none"/>
          </c:marker>
          <c:cat>
            <c:strRef>
              <c:f>'AVE RATING &amp; REVIEWS'!$A$2:$A$5</c:f>
              <c:strCache>
                <c:ptCount val="3"/>
                <c:pt idx="0">
                  <c:v>Low Discount</c:v>
                </c:pt>
                <c:pt idx="1">
                  <c:v>Medium Discount</c:v>
                </c:pt>
                <c:pt idx="2">
                  <c:v>High Discount</c:v>
                </c:pt>
              </c:strCache>
            </c:strRef>
          </c:cat>
          <c:val>
            <c:numRef>
              <c:f>'AVE RATING &amp; REVIEWS'!$C$2:$C$5</c:f>
              <c:numCache>
                <c:formatCode>General</c:formatCode>
                <c:ptCount val="3"/>
                <c:pt idx="0">
                  <c:v>3.7249999999999996</c:v>
                </c:pt>
                <c:pt idx="1">
                  <c:v>4.2782608695652184</c:v>
                </c:pt>
                <c:pt idx="2">
                  <c:v>3.6133333333333324</c:v>
                </c:pt>
              </c:numCache>
            </c:numRef>
          </c:val>
          <c:smooth val="0"/>
          <c:extLst>
            <c:ext xmlns:c16="http://schemas.microsoft.com/office/drawing/2014/chart" uri="{C3380CC4-5D6E-409C-BE32-E72D297353CC}">
              <c16:uniqueId val="{00000001-2997-4C27-9354-9AAEF1616B10}"/>
            </c:ext>
          </c:extLst>
        </c:ser>
        <c:dLbls>
          <c:showLegendKey val="0"/>
          <c:showVal val="0"/>
          <c:showCatName val="0"/>
          <c:showSerName val="0"/>
          <c:showPercent val="0"/>
          <c:showBubbleSize val="0"/>
        </c:dLbls>
        <c:smooth val="0"/>
        <c:axId val="666800296"/>
        <c:axId val="666800656"/>
      </c:lineChart>
      <c:catAx>
        <c:axId val="66680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00656"/>
        <c:crosses val="autoZero"/>
        <c:auto val="1"/>
        <c:lblAlgn val="ctr"/>
        <c:lblOffset val="100"/>
        <c:noMultiLvlLbl val="0"/>
      </c:catAx>
      <c:valAx>
        <c:axId val="6668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00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[Excel_jumia_dataset(AutoRecovered).xlsx]AVE RATING &amp; REVIEWS!PivotTable5</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PRODUCT</a:t>
            </a:r>
            <a:r>
              <a:rPr lang="en-US" sz="1100" baseline="0"/>
              <a:t> CATEGORY</a:t>
            </a:r>
            <a:r>
              <a:rPr lang="en-US" sz="1100"/>
              <a:t> IN</a:t>
            </a:r>
            <a:r>
              <a:rPr lang="en-US" sz="1100" baseline="0"/>
              <a:t> RELATION TO AVERAGE REVIEW AND RATING</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'AVE RATING &amp; REVIEWS'!$B$1</c:f>
              <c:strCache>
                <c:ptCount val="1"/>
                <c:pt idx="0">
                  <c:v>Average of REVIEW</c:v>
                </c:pt>
              </c:strCache>
            </c:strRef>
          </c:tx>
          <c:spPr>
            <a:ln w="28575" cap="rnd">
              <a:solidFill>
                <a:schemeClr val="accent6">
                  <a:tint val="77000"/>
                </a:schemeClr>
              </a:solidFill>
              <a:round/>
            </a:ln>
            <a:effectLst/>
          </c:spPr>
          <c:marker>
            <c:symbol val="none"/>
          </c:marker>
          <c:cat>
            <c:strRef>
              <c:f>'AVE RATING &amp; REVIEWS'!$A$2:$A$5</c:f>
              <c:strCache>
                <c:ptCount val="3"/>
                <c:pt idx="0">
                  <c:v>Low Discount</c:v>
                </c:pt>
                <c:pt idx="1">
                  <c:v>Medium Discount</c:v>
                </c:pt>
                <c:pt idx="2">
                  <c:v>High Discount</c:v>
                </c:pt>
              </c:strCache>
            </c:strRef>
          </c:cat>
          <c:val>
            <c:numRef>
              <c:f>'AVE RATING &amp; REVIEWS'!$B$2:$B$5</c:f>
              <c:numCache>
                <c:formatCode>General</c:formatCode>
                <c:ptCount val="3"/>
                <c:pt idx="0">
                  <c:v>9.5</c:v>
                </c:pt>
                <c:pt idx="1">
                  <c:v>15.260869565217391</c:v>
                </c:pt>
                <c:pt idx="2">
                  <c:v>11.133333333333333</c:v>
                </c:pt>
              </c:numCache>
            </c:numRef>
          </c:val>
          <c:smooth val="0"/>
          <c:extLst>
            <c:ext xmlns:c16="http://schemas.microsoft.com/office/drawing/2014/chart" uri="{C3380CC4-5D6E-409C-BE32-E72D297353CC}">
              <c16:uniqueId val="{00000000-B92A-4CFC-A006-47A6B2FC7A41}"/>
            </c:ext>
          </c:extLst>
        </c:ser>
        <c:ser>
          <c:idx val="1"/>
          <c:order val="1"/>
          <c:tx>
            <c:strRef>
              <c:f>'AVE RATING &amp; REVIEWS'!$C$1</c:f>
              <c:strCache>
                <c:ptCount val="1"/>
                <c:pt idx="0">
                  <c:v>Average of RATING/5</c:v>
                </c:pt>
              </c:strCache>
            </c:strRef>
          </c:tx>
          <c:spPr>
            <a:ln w="28575" cap="rnd">
              <a:solidFill>
                <a:schemeClr val="accent6">
                  <a:shade val="76000"/>
                </a:schemeClr>
              </a:solidFill>
              <a:round/>
            </a:ln>
            <a:effectLst/>
          </c:spPr>
          <c:marker>
            <c:symbol val="none"/>
          </c:marker>
          <c:cat>
            <c:strRef>
              <c:f>'AVE RATING &amp; REVIEWS'!$A$2:$A$5</c:f>
              <c:strCache>
                <c:ptCount val="3"/>
                <c:pt idx="0">
                  <c:v>Low Discount</c:v>
                </c:pt>
                <c:pt idx="1">
                  <c:v>Medium Discount</c:v>
                </c:pt>
                <c:pt idx="2">
                  <c:v>High Discount</c:v>
                </c:pt>
              </c:strCache>
            </c:strRef>
          </c:cat>
          <c:val>
            <c:numRef>
              <c:f>'AVE RATING &amp; REVIEWS'!$C$2:$C$5</c:f>
              <c:numCache>
                <c:formatCode>General</c:formatCode>
                <c:ptCount val="3"/>
                <c:pt idx="0">
                  <c:v>3.7249999999999996</c:v>
                </c:pt>
                <c:pt idx="1">
                  <c:v>4.2782608695652184</c:v>
                </c:pt>
                <c:pt idx="2">
                  <c:v>3.6133333333333324</c:v>
                </c:pt>
              </c:numCache>
            </c:numRef>
          </c:val>
          <c:smooth val="0"/>
          <c:extLst>
            <c:ext xmlns:c16="http://schemas.microsoft.com/office/drawing/2014/chart" uri="{C3380CC4-5D6E-409C-BE32-E72D297353CC}">
              <c16:uniqueId val="{00000003-B92A-4CFC-A006-47A6B2FC7A41}"/>
            </c:ext>
          </c:extLst>
        </c:ser>
        <c:dLbls>
          <c:showLegendKey val="0"/>
          <c:showVal val="0"/>
          <c:showCatName val="0"/>
          <c:showSerName val="0"/>
          <c:showPercent val="0"/>
          <c:showBubbleSize val="0"/>
        </c:dLbls>
        <c:smooth val="0"/>
        <c:axId val="666800296"/>
        <c:axId val="666800656"/>
      </c:lineChart>
      <c:catAx>
        <c:axId val="666800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00656"/>
        <c:crosses val="autoZero"/>
        <c:auto val="1"/>
        <c:lblAlgn val="ctr"/>
        <c:lblOffset val="100"/>
        <c:noMultiLvlLbl val="0"/>
      </c:catAx>
      <c:valAx>
        <c:axId val="6668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800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[Excel_jumia_dataset(AutoRecovered).xlsx]AVE REVIEW RELATION WITH RATING!PivotTable7</c:name>
    <c:fmtId val="0"/>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sz="1400" b="0" i="0" u="none" strike="noStrike" kern="1200" spc="0" baseline="0">
                <a:solidFill>
                  <a:schemeClr val="accent1">
                    <a:lumMod val="75000"/>
                  </a:schemeClr>
                </a:solidFill>
              </a:rPr>
              <a:t>PRODUCT RATING IN RELATION TO PRODUCT REVIEW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 REVIEW RELATION WITH RATING'!$B$3</c:f>
              <c:strCache>
                <c:ptCount val="1"/>
                <c:pt idx="0">
                  <c:v>Total</c:v>
                </c:pt>
              </c:strCache>
            </c:strRef>
          </c:tx>
          <c:spPr>
            <a:solidFill>
              <a:schemeClr val="accent6"/>
            </a:solidFill>
            <a:ln>
              <a:noFill/>
            </a:ln>
            <a:effectLst/>
          </c:spPr>
          <c:invertIfNegative val="0"/>
          <c:cat>
            <c:strRef>
              <c:f>'AVE REVIEW RELATION WITH RATING'!$A$4:$A$16</c:f>
              <c:strCache>
                <c:ptCount val="12"/>
                <c:pt idx="0">
                  <c:v>&lt;0 or (blank)</c:v>
                </c:pt>
                <c:pt idx="1">
                  <c:v>0-4</c:v>
                </c:pt>
                <c:pt idx="2">
                  <c:v>5-9</c:v>
                </c:pt>
                <c:pt idx="3">
                  <c:v>10-14</c:v>
                </c:pt>
                <c:pt idx="4">
                  <c:v>15-19</c:v>
                </c:pt>
                <c:pt idx="5">
                  <c:v>20-24</c:v>
                </c:pt>
                <c:pt idx="6">
                  <c:v>30-34</c:v>
                </c:pt>
                <c:pt idx="7">
                  <c:v>35-39</c:v>
                </c:pt>
                <c:pt idx="8">
                  <c:v>40-44</c:v>
                </c:pt>
                <c:pt idx="9">
                  <c:v>45-49</c:v>
                </c:pt>
                <c:pt idx="10">
                  <c:v>55-59</c:v>
                </c:pt>
                <c:pt idx="11">
                  <c:v>65-70</c:v>
                </c:pt>
              </c:strCache>
            </c:strRef>
          </c:cat>
          <c:val>
            <c:numRef>
              <c:f>'AVE REVIEW RELATION WITH RATING'!$B$4:$B$16</c:f>
              <c:numCache>
                <c:formatCode>General</c:formatCode>
                <c:ptCount val="12"/>
                <c:pt idx="1">
                  <c:v>4.384615384615385</c:v>
                </c:pt>
                <c:pt idx="2">
                  <c:v>3.5449999999999995</c:v>
                </c:pt>
                <c:pt idx="3">
                  <c:v>3.8100000000000009</c:v>
                </c:pt>
                <c:pt idx="4">
                  <c:v>3.05</c:v>
                </c:pt>
                <c:pt idx="5">
                  <c:v>4.4666666666666659</c:v>
                </c:pt>
                <c:pt idx="6">
                  <c:v>4.5</c:v>
                </c:pt>
                <c:pt idx="7">
                  <c:v>4.5</c:v>
                </c:pt>
                <c:pt idx="8">
                  <c:v>4.5999999999999996</c:v>
                </c:pt>
                <c:pt idx="9">
                  <c:v>4.5999999999999996</c:v>
                </c:pt>
                <c:pt idx="10">
                  <c:v>4.5999999999999996</c:v>
                </c:pt>
                <c:pt idx="11">
                  <c:v>2.8</c:v>
                </c:pt>
              </c:numCache>
            </c:numRef>
          </c:val>
          <c:extLst>
            <c:ext xmlns:c16="http://schemas.microsoft.com/office/drawing/2014/chart" uri="{C3380CC4-5D6E-409C-BE32-E72D297353CC}">
              <c16:uniqueId val="{0000001A-6572-4B9C-A7FE-76EFDFAD0D56}"/>
            </c:ext>
          </c:extLst>
        </c:ser>
        <c:dLbls>
          <c:showLegendKey val="0"/>
          <c:showVal val="0"/>
          <c:showCatName val="0"/>
          <c:showSerName val="0"/>
          <c:showPercent val="0"/>
          <c:showBubbleSize val="0"/>
        </c:dLbls>
        <c:gapWidth val="219"/>
        <c:overlap val="100"/>
        <c:axId val="468668560"/>
        <c:axId val="468668200"/>
      </c:barChart>
      <c:catAx>
        <c:axId val="4686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68200"/>
        <c:crosses val="autoZero"/>
        <c:auto val="1"/>
        <c:lblAlgn val="ctr"/>
        <c:lblOffset val="100"/>
        <c:noMultiLvlLbl val="0"/>
      </c:catAx>
      <c:valAx>
        <c:axId val="468668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68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[Excel_jumia_dataset(AutoRecovered).xlsx]DISCOUNT % &amp; REVIEW RELATION!PivotTable6</c:name>
    <c:fmtId val="0"/>
  </c:pivotSource>
  <c:chart>
    <c:title>
      <c:tx>
        <c:rich>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r>
              <a:rPr lang="en-US" sz="1100">
                <a:solidFill>
                  <a:schemeClr val="accent1">
                    <a:lumMod val="75000"/>
                  </a:schemeClr>
                </a:solidFill>
              </a:rPr>
              <a:t>PRODUCTS</a:t>
            </a:r>
            <a:r>
              <a:rPr lang="en-US" sz="1100" baseline="0">
                <a:solidFill>
                  <a:schemeClr val="accent1">
                    <a:lumMod val="75000"/>
                  </a:schemeClr>
                </a:solidFill>
              </a:rPr>
              <a:t> </a:t>
            </a:r>
            <a:r>
              <a:rPr lang="en-US" sz="1100">
                <a:solidFill>
                  <a:schemeClr val="accent1">
                    <a:lumMod val="75000"/>
                  </a:schemeClr>
                </a:solidFill>
              </a:rPr>
              <a:t>DISCOUNT</a:t>
            </a:r>
            <a:r>
              <a:rPr lang="en-US" sz="1100" baseline="0">
                <a:solidFill>
                  <a:schemeClr val="accent1">
                    <a:lumMod val="75000"/>
                  </a:schemeClr>
                </a:solidFill>
              </a:rPr>
              <a:t> PERCENTAGE IN RELATION TO REVIEWS</a:t>
            </a:r>
            <a:endParaRPr lang="en-US" sz="1100">
              <a:solidFill>
                <a:schemeClr val="accent1">
                  <a:lumMod val="75000"/>
                </a:schemeClr>
              </a:solidFill>
            </a:endParaRPr>
          </a:p>
        </c:rich>
      </c:tx>
      <c:layout>
        <c:manualLayout>
          <c:xMode val="edge"/>
          <c:yMode val="edge"/>
          <c:x val="0.13845122484689415"/>
          <c:y val="0.11934966462525518"/>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 &amp; REVIEW RELATION'!$B$1</c:f>
              <c:strCache>
                <c:ptCount val="1"/>
                <c:pt idx="0">
                  <c:v>Average of REVIEW</c:v>
                </c:pt>
              </c:strCache>
            </c:strRef>
          </c:tx>
          <c:spPr>
            <a:solidFill>
              <a:schemeClr val="accent6">
                <a:tint val="77000"/>
              </a:schemeClr>
            </a:solidFill>
            <a:ln>
              <a:noFill/>
            </a:ln>
            <a:effectLst/>
          </c:spPr>
          <c:invertIfNegative val="0"/>
          <c:cat>
            <c:strRef>
              <c:f>'DISCOUNT % &amp; REVIEW RELATION'!$A$2:$A$9</c:f>
              <c:strCache>
                <c:ptCount val="7"/>
                <c:pt idx="0">
                  <c:v>0.01-0.11</c:v>
                </c:pt>
                <c:pt idx="1">
                  <c:v>0.11-0.21</c:v>
                </c:pt>
                <c:pt idx="2">
                  <c:v>0.21-0.31</c:v>
                </c:pt>
                <c:pt idx="3">
                  <c:v>0.31-0.41</c:v>
                </c:pt>
                <c:pt idx="4">
                  <c:v>0.41-0.51</c:v>
                </c:pt>
                <c:pt idx="5">
                  <c:v>0.51-0.61</c:v>
                </c:pt>
                <c:pt idx="6">
                  <c:v>0.61-0.71</c:v>
                </c:pt>
              </c:strCache>
            </c:strRef>
          </c:cat>
          <c:val>
            <c:numRef>
              <c:f>'DISCOUNT % &amp; REVIEW RELATION'!$B$2:$B$9</c:f>
              <c:numCache>
                <c:formatCode>General</c:formatCode>
                <c:ptCount val="7"/>
                <c:pt idx="0">
                  <c:v>15</c:v>
                </c:pt>
                <c:pt idx="1">
                  <c:v>8.75</c:v>
                </c:pt>
                <c:pt idx="2">
                  <c:v>19.2</c:v>
                </c:pt>
                <c:pt idx="3">
                  <c:v>12.25</c:v>
                </c:pt>
                <c:pt idx="4">
                  <c:v>12.285714285714286</c:v>
                </c:pt>
                <c:pt idx="5">
                  <c:v>8.4444444444444446</c:v>
                </c:pt>
              </c:numCache>
            </c:numRef>
          </c:val>
          <c:extLst>
            <c:ext xmlns:c16="http://schemas.microsoft.com/office/drawing/2014/chart" uri="{C3380CC4-5D6E-409C-BE32-E72D297353CC}">
              <c16:uniqueId val="{00000003-FED2-49D1-AEC3-A764C1CA8F92}"/>
            </c:ext>
          </c:extLst>
        </c:ser>
        <c:dLbls>
          <c:showLegendKey val="0"/>
          <c:showVal val="0"/>
          <c:showCatName val="0"/>
          <c:showSerName val="0"/>
          <c:showPercent val="0"/>
          <c:showBubbleSize val="0"/>
        </c:dLbls>
        <c:gapWidth val="219"/>
        <c:axId val="764538456"/>
        <c:axId val="764534856"/>
      </c:barChart>
      <c:lineChart>
        <c:grouping val="standard"/>
        <c:varyColors val="0"/>
        <c:ser>
          <c:idx val="1"/>
          <c:order val="1"/>
          <c:tx>
            <c:strRef>
              <c:f>'DISCOUNT % &amp; REVIEW RELATION'!$C$1</c:f>
              <c:strCache>
                <c:ptCount val="1"/>
                <c:pt idx="0">
                  <c:v>Average of CURRENT PRICE</c:v>
                </c:pt>
              </c:strCache>
            </c:strRef>
          </c:tx>
          <c:spPr>
            <a:ln w="28575" cap="rnd">
              <a:solidFill>
                <a:schemeClr val="accent6">
                  <a:shade val="76000"/>
                </a:schemeClr>
              </a:solidFill>
              <a:round/>
            </a:ln>
            <a:effectLst/>
          </c:spPr>
          <c:marker>
            <c:symbol val="none"/>
          </c:marker>
          <c:cat>
            <c:strRef>
              <c:f>'DISCOUNT % &amp; REVIEW RELATION'!$A$2:$A$9</c:f>
              <c:strCache>
                <c:ptCount val="7"/>
                <c:pt idx="0">
                  <c:v>0.01-0.11</c:v>
                </c:pt>
                <c:pt idx="1">
                  <c:v>0.11-0.21</c:v>
                </c:pt>
                <c:pt idx="2">
                  <c:v>0.21-0.31</c:v>
                </c:pt>
                <c:pt idx="3">
                  <c:v>0.31-0.41</c:v>
                </c:pt>
                <c:pt idx="4">
                  <c:v>0.41-0.51</c:v>
                </c:pt>
                <c:pt idx="5">
                  <c:v>0.51-0.61</c:v>
                </c:pt>
                <c:pt idx="6">
                  <c:v>0.61-0.71</c:v>
                </c:pt>
              </c:strCache>
            </c:strRef>
          </c:cat>
          <c:val>
            <c:numRef>
              <c:f>'DISCOUNT % &amp; REVIEW RELATION'!$C$2:$C$9</c:f>
              <c:numCache>
                <c:formatCode>0.00</c:formatCode>
                <c:ptCount val="7"/>
                <c:pt idx="0">
                  <c:v>1956.9166666666667</c:v>
                </c:pt>
                <c:pt idx="1">
                  <c:v>1797.2857142857142</c:v>
                </c:pt>
                <c:pt idx="2">
                  <c:v>1849.3846153846155</c:v>
                </c:pt>
                <c:pt idx="3">
                  <c:v>1430.4444444444443</c:v>
                </c:pt>
                <c:pt idx="4">
                  <c:v>778.75471698113211</c:v>
                </c:pt>
                <c:pt idx="5">
                  <c:v>734.5</c:v>
                </c:pt>
                <c:pt idx="6">
                  <c:v>199</c:v>
                </c:pt>
              </c:numCache>
            </c:numRef>
          </c:val>
          <c:smooth val="0"/>
          <c:extLst>
            <c:ext xmlns:c16="http://schemas.microsoft.com/office/drawing/2014/chart" uri="{C3380CC4-5D6E-409C-BE32-E72D297353CC}">
              <c16:uniqueId val="{00000004-FED2-49D1-AEC3-A764C1CA8F92}"/>
            </c:ext>
          </c:extLst>
        </c:ser>
        <c:dLbls>
          <c:showLegendKey val="0"/>
          <c:showVal val="0"/>
          <c:showCatName val="0"/>
          <c:showSerName val="0"/>
          <c:showPercent val="0"/>
          <c:showBubbleSize val="0"/>
        </c:dLbls>
        <c:marker val="1"/>
        <c:smooth val="0"/>
        <c:axId val="780029544"/>
        <c:axId val="780025584"/>
      </c:lineChart>
      <c:catAx>
        <c:axId val="76453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34856"/>
        <c:crosses val="autoZero"/>
        <c:auto val="1"/>
        <c:lblAlgn val="ctr"/>
        <c:lblOffset val="100"/>
        <c:noMultiLvlLbl val="0"/>
      </c:catAx>
      <c:valAx>
        <c:axId val="764534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538456"/>
        <c:crosses val="autoZero"/>
        <c:crossBetween val="between"/>
      </c:valAx>
      <c:valAx>
        <c:axId val="7800255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29544"/>
        <c:crosses val="max"/>
        <c:crossBetween val="between"/>
      </c:valAx>
      <c:catAx>
        <c:axId val="780029544"/>
        <c:scaling>
          <c:orientation val="minMax"/>
        </c:scaling>
        <c:delete val="1"/>
        <c:axPos val="b"/>
        <c:numFmt formatCode="General" sourceLinked="1"/>
        <c:majorTickMark val="out"/>
        <c:minorTickMark val="none"/>
        <c:tickLblPos val="nextTo"/>
        <c:crossAx val="780025584"/>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238125</xdr:colOff>
      <xdr:row>1</xdr:row>
      <xdr:rowOff>104775</xdr:rowOff>
    </xdr:from>
    <xdr:to>
      <xdr:col>17</xdr:col>
      <xdr:colOff>190500</xdr:colOff>
      <xdr:row>6</xdr:row>
      <xdr:rowOff>133350</xdr:rowOff>
    </xdr:to>
    <xdr:sp macro="" textlink="">
      <xdr:nvSpPr>
        <xdr:cNvPr id="2" name="Rectangle: Rounded Corners 1">
          <a:extLst>
            <a:ext uri="{FF2B5EF4-FFF2-40B4-BE49-F238E27FC236}">
              <a16:creationId xmlns:a16="http://schemas.microsoft.com/office/drawing/2014/main" id="{60EBD117-14D6-7A59-D4E7-949307548F76}"/>
            </a:ext>
          </a:extLst>
        </xdr:cNvPr>
        <xdr:cNvSpPr/>
      </xdr:nvSpPr>
      <xdr:spPr>
        <a:xfrm>
          <a:off x="5114925" y="295275"/>
          <a:ext cx="5438775" cy="98107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solidFill>
                <a:schemeClr val="accent1">
                  <a:lumMod val="75000"/>
                </a:schemeClr>
              </a:solidFill>
            </a:rPr>
            <a:t>JUMIA</a:t>
          </a:r>
          <a:r>
            <a:rPr lang="en-US" sz="3600" baseline="0">
              <a:solidFill>
                <a:schemeClr val="accent1">
                  <a:lumMod val="75000"/>
                </a:schemeClr>
              </a:solidFill>
            </a:rPr>
            <a:t> PRODUCTS DATASET</a:t>
          </a:r>
          <a:endParaRPr lang="en-US" sz="3600">
            <a:solidFill>
              <a:schemeClr val="accent1">
                <a:lumMod val="75000"/>
              </a:schemeClr>
            </a:solidFill>
          </a:endParaRPr>
        </a:p>
      </xdr:txBody>
    </xdr:sp>
    <xdr:clientData/>
  </xdr:twoCellAnchor>
  <xdr:twoCellAnchor>
    <xdr:from>
      <xdr:col>2</xdr:col>
      <xdr:colOff>180974</xdr:colOff>
      <xdr:row>7</xdr:row>
      <xdr:rowOff>9525</xdr:rowOff>
    </xdr:from>
    <xdr:to>
      <xdr:col>6</xdr:col>
      <xdr:colOff>66675</xdr:colOff>
      <xdr:row>10</xdr:row>
      <xdr:rowOff>133350</xdr:rowOff>
    </xdr:to>
    <xdr:sp macro="" textlink="">
      <xdr:nvSpPr>
        <xdr:cNvPr id="3" name="Rectangle: Rounded Corners 2">
          <a:extLst>
            <a:ext uri="{FF2B5EF4-FFF2-40B4-BE49-F238E27FC236}">
              <a16:creationId xmlns:a16="http://schemas.microsoft.com/office/drawing/2014/main" id="{A169869B-FB11-E043-C07C-D9F480A7F952}"/>
            </a:ext>
          </a:extLst>
        </xdr:cNvPr>
        <xdr:cNvSpPr/>
      </xdr:nvSpPr>
      <xdr:spPr>
        <a:xfrm>
          <a:off x="1400174" y="1343025"/>
          <a:ext cx="2324101" cy="69532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lumMod val="75000"/>
                </a:schemeClr>
              </a:solidFill>
            </a:rPr>
            <a:t>TOTAL</a:t>
          </a:r>
          <a:r>
            <a:rPr lang="en-US" sz="1400" baseline="0">
              <a:solidFill>
                <a:schemeClr val="accent1">
                  <a:lumMod val="75000"/>
                </a:schemeClr>
              </a:solidFill>
            </a:rPr>
            <a:t> CURRENT PRICE</a:t>
          </a:r>
        </a:p>
        <a:p>
          <a:pPr algn="l"/>
          <a:r>
            <a:rPr lang="en-US" sz="1400" b="0" i="0" u="none" strike="noStrike">
              <a:solidFill>
                <a:schemeClr val="accent1">
                  <a:lumMod val="75000"/>
                </a:schemeClr>
              </a:solidFill>
              <a:effectLst/>
              <a:latin typeface="+mn-lt"/>
              <a:ea typeface="+mn-ea"/>
              <a:cs typeface="+mn-cs"/>
            </a:rPr>
            <a:t>134871.00</a:t>
          </a:r>
          <a:r>
            <a:rPr lang="en-US" sz="1400">
              <a:effectLst/>
            </a:rPr>
            <a:t> </a:t>
          </a:r>
          <a:endParaRPr lang="en-US" sz="1400">
            <a:solidFill>
              <a:schemeClr val="accent1">
                <a:lumMod val="75000"/>
              </a:schemeClr>
            </a:solidFill>
          </a:endParaRPr>
        </a:p>
      </xdr:txBody>
    </xdr:sp>
    <xdr:clientData/>
  </xdr:twoCellAnchor>
  <xdr:twoCellAnchor>
    <xdr:from>
      <xdr:col>6</xdr:col>
      <xdr:colOff>161925</xdr:colOff>
      <xdr:row>7</xdr:row>
      <xdr:rowOff>19050</xdr:rowOff>
    </xdr:from>
    <xdr:to>
      <xdr:col>10</xdr:col>
      <xdr:colOff>219075</xdr:colOff>
      <xdr:row>10</xdr:row>
      <xdr:rowOff>142875</xdr:rowOff>
    </xdr:to>
    <xdr:sp macro="" textlink="">
      <xdr:nvSpPr>
        <xdr:cNvPr id="4" name="Rectangle: Rounded Corners 3">
          <a:extLst>
            <a:ext uri="{FF2B5EF4-FFF2-40B4-BE49-F238E27FC236}">
              <a16:creationId xmlns:a16="http://schemas.microsoft.com/office/drawing/2014/main" id="{D403DC3C-D2F3-FC5C-7F8E-EDDD1CCABD6D}"/>
            </a:ext>
          </a:extLst>
        </xdr:cNvPr>
        <xdr:cNvSpPr/>
      </xdr:nvSpPr>
      <xdr:spPr>
        <a:xfrm>
          <a:off x="3819525" y="1352550"/>
          <a:ext cx="2495550" cy="69532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lumMod val="75000"/>
                </a:schemeClr>
              </a:solidFill>
            </a:rPr>
            <a:t>TOTAL OLD PRICE</a:t>
          </a:r>
        </a:p>
        <a:p>
          <a:pPr algn="l"/>
          <a:r>
            <a:rPr lang="en-US" sz="1400" b="0" i="0" u="none" strike="noStrike">
              <a:solidFill>
                <a:schemeClr val="accent1">
                  <a:lumMod val="75000"/>
                </a:schemeClr>
              </a:solidFill>
              <a:effectLst/>
              <a:latin typeface="+mn-lt"/>
              <a:ea typeface="+mn-ea"/>
              <a:cs typeface="+mn-cs"/>
            </a:rPr>
            <a:t>206163.00</a:t>
          </a:r>
          <a:r>
            <a:rPr lang="en-US" sz="1400">
              <a:solidFill>
                <a:schemeClr val="accent1">
                  <a:lumMod val="75000"/>
                </a:schemeClr>
              </a:solidFill>
              <a:effectLst/>
            </a:rPr>
            <a:t> </a:t>
          </a:r>
          <a:endParaRPr lang="en-US" sz="1400">
            <a:solidFill>
              <a:schemeClr val="accent1">
                <a:lumMod val="75000"/>
              </a:schemeClr>
            </a:solidFill>
          </a:endParaRPr>
        </a:p>
      </xdr:txBody>
    </xdr:sp>
    <xdr:clientData/>
  </xdr:twoCellAnchor>
  <xdr:twoCellAnchor>
    <xdr:from>
      <xdr:col>10</xdr:col>
      <xdr:colOff>304801</xdr:colOff>
      <xdr:row>7</xdr:row>
      <xdr:rowOff>28575</xdr:rowOff>
    </xdr:from>
    <xdr:to>
      <xdr:col>15</xdr:col>
      <xdr:colOff>142875</xdr:colOff>
      <xdr:row>10</xdr:row>
      <xdr:rowOff>142874</xdr:rowOff>
    </xdr:to>
    <xdr:sp macro="" textlink="">
      <xdr:nvSpPr>
        <xdr:cNvPr id="5" name="Rectangle: Rounded Corners 4">
          <a:extLst>
            <a:ext uri="{FF2B5EF4-FFF2-40B4-BE49-F238E27FC236}">
              <a16:creationId xmlns:a16="http://schemas.microsoft.com/office/drawing/2014/main" id="{AABA4B66-BB11-502A-9265-030DE9261516}"/>
            </a:ext>
          </a:extLst>
        </xdr:cNvPr>
        <xdr:cNvSpPr/>
      </xdr:nvSpPr>
      <xdr:spPr>
        <a:xfrm>
          <a:off x="6400801" y="1362075"/>
          <a:ext cx="2886074" cy="685799"/>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lumMod val="75000"/>
                </a:schemeClr>
              </a:solidFill>
            </a:rPr>
            <a:t>AVERAGE</a:t>
          </a:r>
          <a:r>
            <a:rPr lang="en-US" sz="1400" baseline="0">
              <a:solidFill>
                <a:schemeClr val="accent1">
                  <a:lumMod val="75000"/>
                </a:schemeClr>
              </a:solidFill>
            </a:rPr>
            <a:t> DISCOUNT PERCENTAGE</a:t>
          </a:r>
          <a:endParaRPr lang="en-US" sz="1400" b="0" i="0" u="none" strike="noStrike" baseline="0">
            <a:solidFill>
              <a:schemeClr val="accent1">
                <a:lumMod val="75000"/>
              </a:schemeClr>
            </a:solidFill>
            <a:effectLst/>
            <a:latin typeface="+mn-lt"/>
            <a:ea typeface="+mn-ea"/>
            <a:cs typeface="+mn-cs"/>
          </a:endParaRPr>
        </a:p>
        <a:p>
          <a:pPr algn="l"/>
          <a:r>
            <a:rPr lang="en-US" sz="1400" b="0" i="0" u="none" strike="noStrike" baseline="0">
              <a:solidFill>
                <a:schemeClr val="accent1">
                  <a:lumMod val="75000"/>
                </a:schemeClr>
              </a:solidFill>
              <a:effectLst/>
              <a:latin typeface="+mn-lt"/>
              <a:ea typeface="+mn-ea"/>
              <a:cs typeface="+mn-cs"/>
            </a:rPr>
            <a:t>37%</a:t>
          </a:r>
          <a:endParaRPr lang="en-US" sz="1400">
            <a:solidFill>
              <a:schemeClr val="accent1">
                <a:lumMod val="75000"/>
              </a:schemeClr>
            </a:solidFill>
          </a:endParaRPr>
        </a:p>
      </xdr:txBody>
    </xdr:sp>
    <xdr:clientData/>
  </xdr:twoCellAnchor>
  <xdr:twoCellAnchor>
    <xdr:from>
      <xdr:col>15</xdr:col>
      <xdr:colOff>219076</xdr:colOff>
      <xdr:row>7</xdr:row>
      <xdr:rowOff>9526</xdr:rowOff>
    </xdr:from>
    <xdr:to>
      <xdr:col>18</xdr:col>
      <xdr:colOff>590550</xdr:colOff>
      <xdr:row>10</xdr:row>
      <xdr:rowOff>142876</xdr:rowOff>
    </xdr:to>
    <xdr:sp macro="" textlink="">
      <xdr:nvSpPr>
        <xdr:cNvPr id="6" name="Rectangle: Rounded Corners 5">
          <a:extLst>
            <a:ext uri="{FF2B5EF4-FFF2-40B4-BE49-F238E27FC236}">
              <a16:creationId xmlns:a16="http://schemas.microsoft.com/office/drawing/2014/main" id="{0A356E64-0E19-A7D7-1B40-4289919E617C}"/>
            </a:ext>
          </a:extLst>
        </xdr:cNvPr>
        <xdr:cNvSpPr/>
      </xdr:nvSpPr>
      <xdr:spPr>
        <a:xfrm>
          <a:off x="9363076" y="1343026"/>
          <a:ext cx="2200274" cy="7048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lumMod val="75000"/>
                </a:schemeClr>
              </a:solidFill>
            </a:rPr>
            <a:t>AVERAGE</a:t>
          </a:r>
          <a:r>
            <a:rPr lang="en-US" sz="1400" baseline="0">
              <a:solidFill>
                <a:schemeClr val="accent1">
                  <a:lumMod val="75000"/>
                </a:schemeClr>
              </a:solidFill>
            </a:rPr>
            <a:t> REVIEW</a:t>
          </a:r>
        </a:p>
        <a:p>
          <a:pPr algn="l"/>
          <a:r>
            <a:rPr lang="en-US" sz="1400" baseline="0">
              <a:solidFill>
                <a:schemeClr val="accent1">
                  <a:lumMod val="75000"/>
                </a:schemeClr>
              </a:solidFill>
            </a:rPr>
            <a:t>12.6842</a:t>
          </a:r>
          <a:endParaRPr lang="en-US" sz="1400">
            <a:solidFill>
              <a:schemeClr val="accent1">
                <a:lumMod val="75000"/>
              </a:schemeClr>
            </a:solidFill>
          </a:endParaRPr>
        </a:p>
      </xdr:txBody>
    </xdr:sp>
    <xdr:clientData/>
  </xdr:twoCellAnchor>
  <xdr:twoCellAnchor>
    <xdr:from>
      <xdr:col>19</xdr:col>
      <xdr:colOff>66675</xdr:colOff>
      <xdr:row>7</xdr:row>
      <xdr:rowOff>9525</xdr:rowOff>
    </xdr:from>
    <xdr:to>
      <xdr:col>22</xdr:col>
      <xdr:colOff>238125</xdr:colOff>
      <xdr:row>10</xdr:row>
      <xdr:rowOff>142875</xdr:rowOff>
    </xdr:to>
    <xdr:sp macro="" textlink="">
      <xdr:nvSpPr>
        <xdr:cNvPr id="7" name="Rectangle: Rounded Corners 6">
          <a:extLst>
            <a:ext uri="{FF2B5EF4-FFF2-40B4-BE49-F238E27FC236}">
              <a16:creationId xmlns:a16="http://schemas.microsoft.com/office/drawing/2014/main" id="{5BB57ECD-AD8F-1908-9986-483997FD286C}"/>
            </a:ext>
          </a:extLst>
        </xdr:cNvPr>
        <xdr:cNvSpPr/>
      </xdr:nvSpPr>
      <xdr:spPr>
        <a:xfrm>
          <a:off x="11649075" y="1343025"/>
          <a:ext cx="2000250" cy="7048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1">
                  <a:lumMod val="75000"/>
                </a:schemeClr>
              </a:solidFill>
            </a:rPr>
            <a:t>AVERAGE RATING</a:t>
          </a:r>
        </a:p>
        <a:p>
          <a:pPr algn="l"/>
          <a:r>
            <a:rPr lang="en-US" sz="1400" b="0" i="0" u="none" strike="noStrike">
              <a:solidFill>
                <a:schemeClr val="accent1">
                  <a:lumMod val="75000"/>
                </a:schemeClr>
              </a:solidFill>
              <a:effectLst/>
              <a:latin typeface="+mn-lt"/>
              <a:ea typeface="+mn-ea"/>
              <a:cs typeface="+mn-cs"/>
            </a:rPr>
            <a:t>3.889473684</a:t>
          </a:r>
          <a:r>
            <a:rPr lang="en-US" sz="1400">
              <a:solidFill>
                <a:schemeClr val="accent1">
                  <a:lumMod val="75000"/>
                </a:schemeClr>
              </a:solidFill>
              <a:effectLst/>
            </a:rPr>
            <a:t> </a:t>
          </a:r>
          <a:endParaRPr lang="en-US" sz="1400">
            <a:solidFill>
              <a:schemeClr val="accent1">
                <a:lumMod val="75000"/>
              </a:schemeClr>
            </a:solidFill>
          </a:endParaRPr>
        </a:p>
      </xdr:txBody>
    </xdr:sp>
    <xdr:clientData/>
  </xdr:twoCellAnchor>
  <xdr:twoCellAnchor>
    <xdr:from>
      <xdr:col>16</xdr:col>
      <xdr:colOff>400050</xdr:colOff>
      <xdr:row>11</xdr:row>
      <xdr:rowOff>85724</xdr:rowOff>
    </xdr:from>
    <xdr:to>
      <xdr:col>24</xdr:col>
      <xdr:colOff>238126</xdr:colOff>
      <xdr:row>24</xdr:row>
      <xdr:rowOff>104775</xdr:rowOff>
    </xdr:to>
    <xdr:graphicFrame macro="">
      <xdr:nvGraphicFramePr>
        <xdr:cNvPr id="9" name="Chart 8">
          <a:extLst>
            <a:ext uri="{FF2B5EF4-FFF2-40B4-BE49-F238E27FC236}">
              <a16:creationId xmlns:a16="http://schemas.microsoft.com/office/drawing/2014/main" id="{A493AF08-64EA-457A-A78B-C14714BBF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400050</xdr:colOff>
      <xdr:row>11</xdr:row>
      <xdr:rowOff>85726</xdr:rowOff>
    </xdr:from>
    <xdr:to>
      <xdr:col>16</xdr:col>
      <xdr:colOff>314325</xdr:colOff>
      <xdr:row>24</xdr:row>
      <xdr:rowOff>104776</xdr:rowOff>
    </xdr:to>
    <xdr:graphicFrame macro="">
      <xdr:nvGraphicFramePr>
        <xdr:cNvPr id="11" name="Chart 10">
          <a:extLst>
            <a:ext uri="{FF2B5EF4-FFF2-40B4-BE49-F238E27FC236}">
              <a16:creationId xmlns:a16="http://schemas.microsoft.com/office/drawing/2014/main" id="{83249FE3-C50C-40F1-8B72-B8CB4749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400049</xdr:colOff>
      <xdr:row>24</xdr:row>
      <xdr:rowOff>171451</xdr:rowOff>
    </xdr:from>
    <xdr:to>
      <xdr:col>24</xdr:col>
      <xdr:colOff>333374</xdr:colOff>
      <xdr:row>41</xdr:row>
      <xdr:rowOff>66675</xdr:rowOff>
    </xdr:to>
    <xdr:graphicFrame macro="">
      <xdr:nvGraphicFramePr>
        <xdr:cNvPr id="13" name="Chart 12">
          <a:extLst>
            <a:ext uri="{FF2B5EF4-FFF2-40B4-BE49-F238E27FC236}">
              <a16:creationId xmlns:a16="http://schemas.microsoft.com/office/drawing/2014/main" id="{36573C21-5FE5-4718-B400-132398D0D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133350</xdr:colOff>
      <xdr:row>11</xdr:row>
      <xdr:rowOff>85725</xdr:rowOff>
    </xdr:from>
    <xdr:to>
      <xdr:col>6</xdr:col>
      <xdr:colOff>228600</xdr:colOff>
      <xdr:row>25</xdr:row>
      <xdr:rowOff>9524</xdr:rowOff>
    </xdr:to>
    <mc:AlternateContent xmlns:mc="http://schemas.openxmlformats.org/markup-compatibility/2006">
      <mc:Choice xmlns:a14="http://schemas.microsoft.com/office/drawing/2010/main" Requires="a14">
        <xdr:graphicFrame macro="">
          <xdr:nvGraphicFramePr>
            <xdr:cNvPr id="15" name="RATING/5 1">
              <a:extLst>
                <a:ext uri="{FF2B5EF4-FFF2-40B4-BE49-F238E27FC236}">
                  <a16:creationId xmlns:a16="http://schemas.microsoft.com/office/drawing/2014/main" id="{C65A0B99-DC1B-4913-8874-F8BD2E360109}"/>
                </a:ext>
              </a:extLst>
            </xdr:cNvPr>
            <xdr:cNvGraphicFramePr/>
          </xdr:nvGraphicFramePr>
          <xdr:xfrm>
            <a:off x="0" y="0"/>
            <a:ext cx="0" cy="0"/>
          </xdr:xfrm>
          <a:graphic>
            <a:graphicData uri="http://schemas.microsoft.com/office/drawing/2010/slicer">
              <sle:slicer xmlns:sle="http://schemas.microsoft.com/office/drawing/2010/slicer" name="RATING/5 1"/>
            </a:graphicData>
          </a:graphic>
        </xdr:graphicFrame>
      </mc:Choice>
      <mc:Fallback>
        <xdr:sp macro="" textlink="">
          <xdr:nvSpPr>
            <xdr:cNvPr id="0" name=""/>
            <xdr:cNvSpPr>
              <a:spLocks noTextEdit="1"/>
            </xdr:cNvSpPr>
          </xdr:nvSpPr>
          <xdr:spPr>
            <a:xfrm>
              <a:off x="133350" y="2181225"/>
              <a:ext cx="3752850" cy="2590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25</xdr:row>
      <xdr:rowOff>47625</xdr:rowOff>
    </xdr:from>
    <xdr:to>
      <xdr:col>6</xdr:col>
      <xdr:colOff>276225</xdr:colOff>
      <xdr:row>33</xdr:row>
      <xdr:rowOff>171451</xdr:rowOff>
    </xdr:to>
    <mc:AlternateContent xmlns:mc="http://schemas.openxmlformats.org/markup-compatibility/2006">
      <mc:Choice xmlns:a14="http://schemas.microsoft.com/office/drawing/2010/main" Requires="a14">
        <xdr:graphicFrame macro="">
          <xdr:nvGraphicFramePr>
            <xdr:cNvPr id="17" name="DISCOUNT PERCENTAGE 1">
              <a:extLst>
                <a:ext uri="{FF2B5EF4-FFF2-40B4-BE49-F238E27FC236}">
                  <a16:creationId xmlns:a16="http://schemas.microsoft.com/office/drawing/2014/main" id="{6C6F9F3C-67A1-49B0-BED6-B149226201A0}"/>
                </a:ext>
              </a:extLst>
            </xdr:cNvPr>
            <xdr:cNvGraphicFramePr/>
          </xdr:nvGraphicFramePr>
          <xdr:xfrm>
            <a:off x="0" y="0"/>
            <a:ext cx="0" cy="0"/>
          </xdr:xfrm>
          <a:graphic>
            <a:graphicData uri="http://schemas.microsoft.com/office/drawing/2010/slicer">
              <sle:slicer xmlns:sle="http://schemas.microsoft.com/office/drawing/2010/slicer" name="DISCOUNT PERCENTAGE 1"/>
            </a:graphicData>
          </a:graphic>
        </xdr:graphicFrame>
      </mc:Choice>
      <mc:Fallback>
        <xdr:sp macro="" textlink="">
          <xdr:nvSpPr>
            <xdr:cNvPr id="0" name=""/>
            <xdr:cNvSpPr>
              <a:spLocks noTextEdit="1"/>
            </xdr:cNvSpPr>
          </xdr:nvSpPr>
          <xdr:spPr>
            <a:xfrm>
              <a:off x="123825" y="4810125"/>
              <a:ext cx="3810000" cy="16478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34</xdr:row>
      <xdr:rowOff>104775</xdr:rowOff>
    </xdr:from>
    <xdr:to>
      <xdr:col>6</xdr:col>
      <xdr:colOff>257175</xdr:colOff>
      <xdr:row>40</xdr:row>
      <xdr:rowOff>47625</xdr:rowOff>
    </xdr:to>
    <mc:AlternateContent xmlns:mc="http://schemas.openxmlformats.org/markup-compatibility/2006">
      <mc:Choice xmlns:a14="http://schemas.microsoft.com/office/drawing/2010/main" Requires="a14">
        <xdr:graphicFrame macro="">
          <xdr:nvGraphicFramePr>
            <xdr:cNvPr id="19" name="PRODUCT CATEGORY 1">
              <a:extLst>
                <a:ext uri="{FF2B5EF4-FFF2-40B4-BE49-F238E27FC236}">
                  <a16:creationId xmlns:a16="http://schemas.microsoft.com/office/drawing/2014/main" id="{09EB7858-8F26-44CF-B635-D7BADE695E0F}"/>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04775" y="6581775"/>
              <a:ext cx="38100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28575</xdr:colOff>
      <xdr:row>7</xdr:row>
      <xdr:rowOff>0</xdr:rowOff>
    </xdr:from>
    <xdr:to>
      <xdr:col>6</xdr:col>
      <xdr:colOff>28575</xdr:colOff>
      <xdr:row>20</xdr:row>
      <xdr:rowOff>47625</xdr:rowOff>
    </xdr:to>
    <mc:AlternateContent xmlns:mc="http://schemas.openxmlformats.org/markup-compatibility/2006">
      <mc:Choice xmlns:a14="http://schemas.microsoft.com/office/drawing/2010/main" Requires="a14">
        <xdr:graphicFrame macro="">
          <xdr:nvGraphicFramePr>
            <xdr:cNvPr id="4" name="DISCOUNT PERCENTAGE">
              <a:extLst>
                <a:ext uri="{FF2B5EF4-FFF2-40B4-BE49-F238E27FC236}">
                  <a16:creationId xmlns:a16="http://schemas.microsoft.com/office/drawing/2014/main" id="{FA278EEE-D69E-FAAB-A8C1-3B15AB52F026}"/>
                </a:ext>
              </a:extLst>
            </xdr:cNvPr>
            <xdr:cNvGraphicFramePr/>
          </xdr:nvGraphicFramePr>
          <xdr:xfrm>
            <a:off x="0" y="0"/>
            <a:ext cx="0" cy="0"/>
          </xdr:xfrm>
          <a:graphic>
            <a:graphicData uri="http://schemas.microsoft.com/office/drawing/2010/slicer">
              <sle:slicer xmlns:sle="http://schemas.microsoft.com/office/drawing/2010/slicer" name="DISCOUNT PERCENTAGE"/>
            </a:graphicData>
          </a:graphic>
        </xdr:graphicFrame>
      </mc:Choice>
      <mc:Fallback>
        <xdr:sp macro="" textlink="">
          <xdr:nvSpPr>
            <xdr:cNvPr id="0" name=""/>
            <xdr:cNvSpPr>
              <a:spLocks noTextEdit="1"/>
            </xdr:cNvSpPr>
          </xdr:nvSpPr>
          <xdr:spPr>
            <a:xfrm>
              <a:off x="4676775"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7</xdr:row>
      <xdr:rowOff>76200</xdr:rowOff>
    </xdr:from>
    <xdr:to>
      <xdr:col>1</xdr:col>
      <xdr:colOff>914400</xdr:colOff>
      <xdr:row>20</xdr:row>
      <xdr:rowOff>123825</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55F8B2FD-1510-AD6D-CED6-03C05069D27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00025" y="1409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1371600</xdr:colOff>
      <xdr:row>8</xdr:row>
      <xdr:rowOff>28575</xdr:rowOff>
    </xdr:from>
    <xdr:to>
      <xdr:col>2</xdr:col>
      <xdr:colOff>1000125</xdr:colOff>
      <xdr:row>21</xdr:row>
      <xdr:rowOff>76200</xdr:rowOff>
    </xdr:to>
    <mc:AlternateContent xmlns:mc="http://schemas.openxmlformats.org/markup-compatibility/2006">
      <mc:Choice xmlns:a14="http://schemas.microsoft.com/office/drawing/2010/main" Requires="a14">
        <xdr:graphicFrame macro="">
          <xdr:nvGraphicFramePr>
            <xdr:cNvPr id="7" name="RATING/5">
              <a:extLst>
                <a:ext uri="{FF2B5EF4-FFF2-40B4-BE49-F238E27FC236}">
                  <a16:creationId xmlns:a16="http://schemas.microsoft.com/office/drawing/2014/main" id="{8783A170-F961-7B16-329D-16B2803ED2C0}"/>
                </a:ext>
              </a:extLst>
            </xdr:cNvPr>
            <xdr:cNvGraphicFramePr/>
          </xdr:nvGraphicFramePr>
          <xdr:xfrm>
            <a:off x="0" y="0"/>
            <a:ext cx="0" cy="0"/>
          </xdr:xfrm>
          <a:graphic>
            <a:graphicData uri="http://schemas.microsoft.com/office/drawing/2010/slicer">
              <sle:slicer xmlns:sle="http://schemas.microsoft.com/office/drawing/2010/slicer" name="RATING/5"/>
            </a:graphicData>
          </a:graphic>
        </xdr:graphicFrame>
      </mc:Choice>
      <mc:Fallback>
        <xdr:sp macro="" textlink="">
          <xdr:nvSpPr>
            <xdr:cNvPr id="0" name=""/>
            <xdr:cNvSpPr>
              <a:spLocks noTextEdit="1"/>
            </xdr:cNvSpPr>
          </xdr:nvSpPr>
          <xdr:spPr>
            <a:xfrm>
              <a:off x="2486025" y="1552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333374</xdr:colOff>
      <xdr:row>7</xdr:row>
      <xdr:rowOff>85725</xdr:rowOff>
    </xdr:from>
    <xdr:to>
      <xdr:col>8</xdr:col>
      <xdr:colOff>352424</xdr:colOff>
      <xdr:row>25</xdr:row>
      <xdr:rowOff>28575</xdr:rowOff>
    </xdr:to>
    <xdr:graphicFrame macro="">
      <xdr:nvGraphicFramePr>
        <xdr:cNvPr id="2" name="Chart 1">
          <a:extLst>
            <a:ext uri="{FF2B5EF4-FFF2-40B4-BE49-F238E27FC236}">
              <a16:creationId xmlns:a16="http://schemas.microsoft.com/office/drawing/2014/main" id="{C700B325-72CB-EB6F-E3E4-9A4AF8F3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19050</xdr:colOff>
      <xdr:row>4</xdr:row>
      <xdr:rowOff>47625</xdr:rowOff>
    </xdr:from>
    <xdr:to>
      <xdr:col>31</xdr:col>
      <xdr:colOff>457200</xdr:colOff>
      <xdr:row>29</xdr:row>
      <xdr:rowOff>47625</xdr:rowOff>
    </xdr:to>
    <xdr:graphicFrame macro="">
      <xdr:nvGraphicFramePr>
        <xdr:cNvPr id="2" name="Chart 1">
          <a:extLst>
            <a:ext uri="{FF2B5EF4-FFF2-40B4-BE49-F238E27FC236}">
              <a16:creationId xmlns:a16="http://schemas.microsoft.com/office/drawing/2014/main" id="{393CC414-667B-7F1F-782D-45B4C9DE0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952500</xdr:colOff>
      <xdr:row>11</xdr:row>
      <xdr:rowOff>104775</xdr:rowOff>
    </xdr:from>
    <xdr:to>
      <xdr:col>9</xdr:col>
      <xdr:colOff>438150</xdr:colOff>
      <xdr:row>29</xdr:row>
      <xdr:rowOff>104775</xdr:rowOff>
    </xdr:to>
    <xdr:graphicFrame macro="">
      <xdr:nvGraphicFramePr>
        <xdr:cNvPr id="2" name="Chart 1">
          <a:extLst>
            <a:ext uri="{FF2B5EF4-FFF2-40B4-BE49-F238E27FC236}">
              <a16:creationId xmlns:a16="http://schemas.microsoft.com/office/drawing/2014/main" id="{E43FB9CE-7744-E9D1-32E4-0634D766D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2070717595" createdVersion="8" refreshedVersion="8" minRefreshableVersion="3" recordCount="115" xr:uid="{CD3CD56F-2956-436C-BCA0-985836559972}">
  <cacheSource type="worksheet">
    <worksheetSource ref="A1:I116" sheet="Excel_jumia_dataset"/>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PERCENTAGE"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1"/>
        <groupItems count="9">
          <s v="&lt;0.01"/>
          <s v="0.01-0.11"/>
          <s v="0.11-0.21"/>
          <s v="0.21-0.31"/>
          <s v="0.31-0.41"/>
          <s v="0.41-0.51"/>
          <s v="0.51-0.61"/>
          <s v="0.61-0.71"/>
          <s v="&gt;0.71"/>
        </groupItems>
      </fieldGroup>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fieldGroup base="4">
        <rangePr autoStart="0" autoEnd="0" startNum="0" endNum="70" groupInterval="5"/>
        <groupItems count="16">
          <s v="&lt;0 or (blank)"/>
          <s v="0-4"/>
          <s v="5-9"/>
          <s v="10-14"/>
          <s v="15-19"/>
          <s v="20-24"/>
          <s v="25-29"/>
          <s v="30-34"/>
          <s v="35-39"/>
          <s v="40-44"/>
          <s v="45-49"/>
          <s v="50-54"/>
          <s v="55-59"/>
          <s v="60-64"/>
          <s v="65-70"/>
          <s v="&gt;70"/>
        </groupItems>
      </fieldGroup>
    </cacheField>
    <cacheField name="RATING/5"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ABSOLUTE DISCOUNT AMOUNT" numFmtId="2">
      <sharedItems containsSemiMixedTypes="0" containsString="0" containsNumber="1" containsInteger="1" minValue="24" maxValue="2585"/>
    </cacheField>
    <cacheField name="RATING CATEGORY" numFmtId="0">
      <sharedItems count="3">
        <s v="Excellent"/>
        <s v="Average"/>
        <s v="Poor"/>
      </sharedItems>
    </cacheField>
    <cacheField name="PRODUCT CATEGORY" numFmtId="0">
      <sharedItems count="4">
        <s v="Medium Discount"/>
        <s v="High Discount"/>
        <s v="Low Discount"/>
        <s v="Good Discount" u="1"/>
      </sharedItems>
    </cacheField>
  </cacheFields>
  <extLst>
    <ext xmlns:x14="http://schemas.microsoft.com/office/spreadsheetml/2009/9/main" uri="{725AE2AE-9491-48be-B2B4-4EB974FC3084}">
      <x14:pivotCacheDefinition pivotCacheId="265539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x v="0"/>
    <x v="0"/>
    <n v="575"/>
    <x v="0"/>
    <x v="0"/>
  </r>
  <r>
    <x v="1"/>
    <n v="527"/>
    <n v="999"/>
    <x v="1"/>
    <x v="1"/>
    <x v="1"/>
    <n v="472"/>
    <x v="1"/>
    <x v="1"/>
  </r>
  <r>
    <x v="2"/>
    <n v="2199"/>
    <n v="2923"/>
    <x v="2"/>
    <x v="2"/>
    <x v="2"/>
    <n v="724"/>
    <x v="0"/>
    <x v="0"/>
  </r>
  <r>
    <x v="3"/>
    <n v="1580"/>
    <n v="2499"/>
    <x v="3"/>
    <x v="3"/>
    <x v="3"/>
    <n v="919"/>
    <x v="0"/>
    <x v="0"/>
  </r>
  <r>
    <x v="4"/>
    <n v="1740"/>
    <n v="2356"/>
    <x v="4"/>
    <x v="4"/>
    <x v="4"/>
    <n v="616"/>
    <x v="0"/>
    <x v="0"/>
  </r>
  <r>
    <x v="5"/>
    <n v="2999"/>
    <n v="3290"/>
    <x v="5"/>
    <x v="5"/>
    <x v="5"/>
    <n v="291"/>
    <x v="1"/>
    <x v="2"/>
  </r>
  <r>
    <x v="6"/>
    <n v="2319"/>
    <n v="3032"/>
    <x v="6"/>
    <x v="6"/>
    <x v="2"/>
    <n v="713"/>
    <x v="0"/>
    <x v="0"/>
  </r>
  <r>
    <x v="7"/>
    <n v="988"/>
    <n v="1580"/>
    <x v="3"/>
    <x v="0"/>
    <x v="5"/>
    <n v="592"/>
    <x v="1"/>
    <x v="0"/>
  </r>
  <r>
    <x v="8"/>
    <n v="1274"/>
    <n v="2800"/>
    <x v="7"/>
    <x v="4"/>
    <x v="4"/>
    <n v="1526"/>
    <x v="0"/>
    <x v="1"/>
  </r>
  <r>
    <x v="9"/>
    <n v="1600"/>
    <n v="2929"/>
    <x v="8"/>
    <x v="4"/>
    <x v="6"/>
    <n v="1329"/>
    <x v="1"/>
    <x v="1"/>
  </r>
  <r>
    <x v="10"/>
    <n v="799"/>
    <n v="999"/>
    <x v="9"/>
    <x v="7"/>
    <x v="1"/>
    <n v="200"/>
    <x v="1"/>
    <x v="0"/>
  </r>
  <r>
    <x v="11"/>
    <n v="990"/>
    <n v="1500"/>
    <x v="10"/>
    <x v="8"/>
    <x v="3"/>
    <n v="510"/>
    <x v="0"/>
    <x v="0"/>
  </r>
  <r>
    <x v="12"/>
    <n v="552"/>
    <n v="1035"/>
    <x v="1"/>
    <x v="7"/>
    <x v="4"/>
    <n v="483"/>
    <x v="0"/>
    <x v="1"/>
  </r>
  <r>
    <x v="13"/>
    <n v="501"/>
    <n v="860"/>
    <x v="11"/>
    <x v="9"/>
    <x v="0"/>
    <n v="359"/>
    <x v="0"/>
    <x v="1"/>
  </r>
  <r>
    <x v="14"/>
    <n v="1680"/>
    <n v="2499"/>
    <x v="12"/>
    <x v="10"/>
    <x v="7"/>
    <n v="819"/>
    <x v="1"/>
    <x v="0"/>
  </r>
  <r>
    <x v="15"/>
    <n v="332"/>
    <n v="684"/>
    <x v="13"/>
    <x v="0"/>
    <x v="8"/>
    <n v="352"/>
    <x v="0"/>
    <x v="1"/>
  </r>
  <r>
    <x v="16"/>
    <n v="195"/>
    <n v="360"/>
    <x v="14"/>
    <x v="0"/>
    <x v="8"/>
    <n v="165"/>
    <x v="0"/>
    <x v="1"/>
  </r>
  <r>
    <x v="17"/>
    <n v="2025"/>
    <n v="3971"/>
    <x v="15"/>
    <x v="11"/>
    <x v="8"/>
    <n v="1946"/>
    <x v="0"/>
    <x v="1"/>
  </r>
  <r>
    <x v="18"/>
    <n v="2999"/>
    <n v="3699"/>
    <x v="16"/>
    <x v="4"/>
    <x v="2"/>
    <n v="700"/>
    <x v="0"/>
    <x v="2"/>
  </r>
  <r>
    <x v="19"/>
    <n v="998"/>
    <n v="1966"/>
    <x v="15"/>
    <x v="12"/>
    <x v="2"/>
    <n v="968"/>
    <x v="0"/>
    <x v="1"/>
  </r>
  <r>
    <x v="20"/>
    <n v="38"/>
    <n v="80"/>
    <x v="17"/>
    <x v="13"/>
    <x v="9"/>
    <n v="42"/>
    <x v="1"/>
    <x v="1"/>
  </r>
  <r>
    <x v="21"/>
    <n v="1860"/>
    <n v="3220"/>
    <x v="11"/>
    <x v="14"/>
    <x v="10"/>
    <n v="1360"/>
    <x v="2"/>
    <x v="1"/>
  </r>
  <r>
    <x v="22"/>
    <n v="880"/>
    <n v="1350"/>
    <x v="18"/>
    <x v="9"/>
    <x v="5"/>
    <n v="470"/>
    <x v="1"/>
    <x v="0"/>
  </r>
  <r>
    <x v="23"/>
    <n v="1650"/>
    <n v="2150"/>
    <x v="19"/>
    <x v="1"/>
    <x v="11"/>
    <n v="500"/>
    <x v="1"/>
    <x v="0"/>
  </r>
  <r>
    <x v="24"/>
    <n v="2048"/>
    <n v="4500"/>
    <x v="20"/>
    <x v="3"/>
    <x v="12"/>
    <n v="2452"/>
    <x v="1"/>
    <x v="1"/>
  </r>
  <r>
    <x v="25"/>
    <n v="420"/>
    <n v="647"/>
    <x v="18"/>
    <x v="15"/>
    <x v="2"/>
    <n v="227"/>
    <x v="0"/>
    <x v="0"/>
  </r>
  <r>
    <x v="26"/>
    <n v="2880"/>
    <n v="3520"/>
    <x v="21"/>
    <x v="7"/>
    <x v="6"/>
    <n v="640"/>
    <x v="1"/>
    <x v="2"/>
  </r>
  <r>
    <x v="27"/>
    <n v="1350"/>
    <n v="1990"/>
    <x v="22"/>
    <x v="13"/>
    <x v="6"/>
    <n v="640"/>
    <x v="1"/>
    <x v="0"/>
  </r>
  <r>
    <x v="28"/>
    <n v="1758"/>
    <n v="2499"/>
    <x v="23"/>
    <x v="16"/>
    <x v="1"/>
    <n v="741"/>
    <x v="1"/>
    <x v="0"/>
  </r>
  <r>
    <x v="29"/>
    <n v="2200"/>
    <n v="4080"/>
    <x v="14"/>
    <x v="14"/>
    <x v="10"/>
    <n v="1880"/>
    <x v="2"/>
    <x v="1"/>
  </r>
  <r>
    <x v="30"/>
    <n v="185"/>
    <n v="382"/>
    <x v="24"/>
    <x v="10"/>
    <x v="12"/>
    <n v="197"/>
    <x v="1"/>
    <x v="1"/>
  </r>
  <r>
    <x v="31"/>
    <n v="980"/>
    <n v="1490"/>
    <x v="10"/>
    <x v="7"/>
    <x v="3"/>
    <n v="510"/>
    <x v="0"/>
    <x v="0"/>
  </r>
  <r>
    <x v="32"/>
    <n v="1820"/>
    <n v="3490"/>
    <x v="25"/>
    <x v="10"/>
    <x v="12"/>
    <n v="1670"/>
    <x v="1"/>
    <x v="1"/>
  </r>
  <r>
    <x v="33"/>
    <n v="1940"/>
    <n v="2650"/>
    <x v="26"/>
    <x v="16"/>
    <x v="3"/>
    <n v="710"/>
    <x v="0"/>
    <x v="0"/>
  </r>
  <r>
    <x v="34"/>
    <n v="1980"/>
    <n v="2699"/>
    <x v="26"/>
    <x v="17"/>
    <x v="0"/>
    <n v="719"/>
    <x v="0"/>
    <x v="0"/>
  </r>
  <r>
    <x v="35"/>
    <n v="1620"/>
    <n v="2690"/>
    <x v="27"/>
    <x v="18"/>
    <x v="8"/>
    <n v="1070"/>
    <x v="0"/>
    <x v="0"/>
  </r>
  <r>
    <x v="36"/>
    <n v="171"/>
    <n v="360"/>
    <x v="17"/>
    <x v="0"/>
    <x v="8"/>
    <n v="189"/>
    <x v="0"/>
    <x v="1"/>
  </r>
  <r>
    <x v="37"/>
    <n v="389"/>
    <n v="656"/>
    <x v="28"/>
    <x v="19"/>
    <x v="12"/>
    <n v="267"/>
    <x v="1"/>
    <x v="1"/>
  </r>
  <r>
    <x v="38"/>
    <n v="1620"/>
    <n v="2200"/>
    <x v="0"/>
    <x v="0"/>
    <x v="0"/>
    <n v="580"/>
    <x v="0"/>
    <x v="0"/>
  </r>
  <r>
    <x v="39"/>
    <n v="2750"/>
    <n v="4471"/>
    <x v="0"/>
    <x v="14"/>
    <x v="10"/>
    <n v="1721"/>
    <x v="2"/>
    <x v="0"/>
  </r>
  <r>
    <x v="40"/>
    <n v="475"/>
    <n v="931"/>
    <x v="15"/>
    <x v="14"/>
    <x v="10"/>
    <n v="456"/>
    <x v="2"/>
    <x v="1"/>
  </r>
  <r>
    <x v="41"/>
    <n v="238"/>
    <n v="476"/>
    <x v="29"/>
    <x v="14"/>
    <x v="10"/>
    <n v="238"/>
    <x v="2"/>
    <x v="1"/>
  </r>
  <r>
    <x v="42"/>
    <n v="610"/>
    <n v="1060"/>
    <x v="11"/>
    <x v="14"/>
    <x v="10"/>
    <n v="450"/>
    <x v="2"/>
    <x v="1"/>
  </r>
  <r>
    <x v="42"/>
    <n v="610"/>
    <n v="1060"/>
    <x v="11"/>
    <x v="14"/>
    <x v="10"/>
    <n v="450"/>
    <x v="2"/>
    <x v="1"/>
  </r>
  <r>
    <x v="43"/>
    <n v="2132"/>
    <n v="2169"/>
    <x v="30"/>
    <x v="14"/>
    <x v="10"/>
    <n v="37"/>
    <x v="2"/>
    <x v="2"/>
  </r>
  <r>
    <x v="44"/>
    <n v="999"/>
    <n v="2000"/>
    <x v="29"/>
    <x v="14"/>
    <x v="10"/>
    <n v="1001"/>
    <x v="2"/>
    <x v="1"/>
  </r>
  <r>
    <x v="45"/>
    <n v="1190"/>
    <n v="1785"/>
    <x v="12"/>
    <x v="14"/>
    <x v="10"/>
    <n v="595"/>
    <x v="2"/>
    <x v="0"/>
  </r>
  <r>
    <x v="46"/>
    <n v="671"/>
    <n v="1316"/>
    <x v="15"/>
    <x v="14"/>
    <x v="10"/>
    <n v="645"/>
    <x v="2"/>
    <x v="1"/>
  </r>
  <r>
    <x v="47"/>
    <n v="1200"/>
    <n v="1950"/>
    <x v="0"/>
    <x v="14"/>
    <x v="10"/>
    <n v="750"/>
    <x v="2"/>
    <x v="0"/>
  </r>
  <r>
    <x v="48"/>
    <n v="199"/>
    <n v="504"/>
    <x v="31"/>
    <x v="14"/>
    <x v="10"/>
    <n v="305"/>
    <x v="2"/>
    <x v="1"/>
  </r>
  <r>
    <x v="49"/>
    <n v="299"/>
    <n v="600"/>
    <x v="29"/>
    <x v="14"/>
    <x v="10"/>
    <n v="301"/>
    <x v="2"/>
    <x v="1"/>
  </r>
  <r>
    <x v="50"/>
    <n v="1660"/>
    <n v="1699"/>
    <x v="30"/>
    <x v="14"/>
    <x v="10"/>
    <n v="39"/>
    <x v="2"/>
    <x v="2"/>
  </r>
  <r>
    <x v="51"/>
    <n v="299"/>
    <n v="384"/>
    <x v="32"/>
    <x v="14"/>
    <x v="10"/>
    <n v="85"/>
    <x v="2"/>
    <x v="0"/>
  </r>
  <r>
    <x v="52"/>
    <n v="1459"/>
    <n v="1499"/>
    <x v="33"/>
    <x v="14"/>
    <x v="10"/>
    <n v="40"/>
    <x v="2"/>
    <x v="2"/>
  </r>
  <r>
    <x v="53"/>
    <n v="799"/>
    <n v="1343"/>
    <x v="28"/>
    <x v="14"/>
    <x v="10"/>
    <n v="544"/>
    <x v="2"/>
    <x v="1"/>
  </r>
  <r>
    <x v="54"/>
    <n v="499"/>
    <n v="900"/>
    <x v="8"/>
    <x v="14"/>
    <x v="10"/>
    <n v="401"/>
    <x v="2"/>
    <x v="1"/>
  </r>
  <r>
    <x v="55"/>
    <n v="699"/>
    <n v="1343"/>
    <x v="25"/>
    <x v="14"/>
    <x v="10"/>
    <n v="644"/>
    <x v="2"/>
    <x v="1"/>
  </r>
  <r>
    <x v="56"/>
    <n v="799"/>
    <n v="1567"/>
    <x v="15"/>
    <x v="14"/>
    <x v="10"/>
    <n v="768"/>
    <x v="2"/>
    <x v="1"/>
  </r>
  <r>
    <x v="57"/>
    <n v="2799"/>
    <n v="3810"/>
    <x v="26"/>
    <x v="14"/>
    <x v="10"/>
    <n v="1011"/>
    <x v="2"/>
    <x v="0"/>
  </r>
  <r>
    <x v="54"/>
    <n v="399"/>
    <n v="896"/>
    <x v="7"/>
    <x v="14"/>
    <x v="10"/>
    <n v="497"/>
    <x v="2"/>
    <x v="1"/>
  </r>
  <r>
    <x v="58"/>
    <n v="2170"/>
    <n v="2500"/>
    <x v="34"/>
    <x v="9"/>
    <x v="13"/>
    <n v="330"/>
    <x v="2"/>
    <x v="2"/>
  </r>
  <r>
    <x v="59"/>
    <n v="458"/>
    <n v="986"/>
    <x v="20"/>
    <x v="20"/>
    <x v="14"/>
    <n v="528"/>
    <x v="1"/>
    <x v="1"/>
  </r>
  <r>
    <x v="60"/>
    <n v="2115"/>
    <n v="4700"/>
    <x v="7"/>
    <x v="13"/>
    <x v="15"/>
    <n v="2585"/>
    <x v="2"/>
    <x v="1"/>
  </r>
  <r>
    <x v="61"/>
    <n v="445"/>
    <n v="873"/>
    <x v="15"/>
    <x v="21"/>
    <x v="16"/>
    <n v="428"/>
    <x v="2"/>
    <x v="1"/>
  </r>
  <r>
    <x v="62"/>
    <n v="325"/>
    <n v="680"/>
    <x v="24"/>
    <x v="5"/>
    <x v="17"/>
    <n v="355"/>
    <x v="2"/>
    <x v="1"/>
  </r>
  <r>
    <x v="63"/>
    <n v="1220"/>
    <n v="1555"/>
    <x v="32"/>
    <x v="22"/>
    <x v="18"/>
    <n v="335"/>
    <x v="2"/>
    <x v="0"/>
  </r>
  <r>
    <x v="64"/>
    <n v="990"/>
    <n v="1814"/>
    <x v="8"/>
    <x v="9"/>
    <x v="19"/>
    <n v="824"/>
    <x v="2"/>
    <x v="1"/>
  </r>
  <r>
    <x v="65"/>
    <n v="1000"/>
    <n v="2000"/>
    <x v="29"/>
    <x v="3"/>
    <x v="20"/>
    <n v="1000"/>
    <x v="2"/>
    <x v="1"/>
  </r>
  <r>
    <x v="66"/>
    <n v="3750"/>
    <n v="6143"/>
    <x v="35"/>
    <x v="4"/>
    <x v="14"/>
    <n v="2393"/>
    <x v="1"/>
    <x v="0"/>
  </r>
  <r>
    <x v="67"/>
    <n v="382"/>
    <n v="700"/>
    <x v="8"/>
    <x v="23"/>
    <x v="21"/>
    <n v="318"/>
    <x v="2"/>
    <x v="1"/>
  </r>
  <r>
    <x v="68"/>
    <n v="2300"/>
    <n v="3240"/>
    <x v="36"/>
    <x v="4"/>
    <x v="14"/>
    <n v="940"/>
    <x v="1"/>
    <x v="0"/>
  </r>
  <r>
    <x v="69"/>
    <n v="345"/>
    <n v="602"/>
    <x v="37"/>
    <x v="9"/>
    <x v="20"/>
    <n v="257"/>
    <x v="2"/>
    <x v="1"/>
  </r>
  <r>
    <x v="70"/>
    <n v="509"/>
    <n v="899"/>
    <x v="37"/>
    <x v="4"/>
    <x v="14"/>
    <n v="390"/>
    <x v="1"/>
    <x v="1"/>
  </r>
  <r>
    <x v="71"/>
    <n v="968"/>
    <n v="1814"/>
    <x v="1"/>
    <x v="9"/>
    <x v="19"/>
    <n v="846"/>
    <x v="2"/>
    <x v="1"/>
  </r>
  <r>
    <x v="72"/>
    <n v="1570"/>
    <n v="2988"/>
    <x v="1"/>
    <x v="3"/>
    <x v="15"/>
    <n v="1418"/>
    <x v="2"/>
    <x v="1"/>
  </r>
  <r>
    <x v="73"/>
    <n v="790"/>
    <n v="1485"/>
    <x v="1"/>
    <x v="14"/>
    <x v="10"/>
    <n v="695"/>
    <x v="2"/>
    <x v="1"/>
  </r>
  <r>
    <x v="74"/>
    <n v="690"/>
    <n v="1200"/>
    <x v="37"/>
    <x v="14"/>
    <x v="10"/>
    <n v="510"/>
    <x v="2"/>
    <x v="1"/>
  </r>
  <r>
    <x v="75"/>
    <n v="1732"/>
    <n v="1799"/>
    <x v="38"/>
    <x v="14"/>
    <x v="10"/>
    <n v="67"/>
    <x v="2"/>
    <x v="2"/>
  </r>
  <r>
    <x v="76"/>
    <n v="230"/>
    <n v="450"/>
    <x v="15"/>
    <x v="14"/>
    <x v="10"/>
    <n v="220"/>
    <x v="2"/>
    <x v="1"/>
  </r>
  <r>
    <x v="77"/>
    <n v="1189"/>
    <n v="2199"/>
    <x v="14"/>
    <x v="18"/>
    <x v="14"/>
    <n v="1010"/>
    <x v="1"/>
    <x v="1"/>
  </r>
  <r>
    <x v="78"/>
    <n v="979"/>
    <n v="1920"/>
    <x v="15"/>
    <x v="18"/>
    <x v="8"/>
    <n v="941"/>
    <x v="0"/>
    <x v="1"/>
  </r>
  <r>
    <x v="79"/>
    <n v="1460"/>
    <n v="2290"/>
    <x v="39"/>
    <x v="14"/>
    <x v="10"/>
    <n v="830"/>
    <x v="2"/>
    <x v="0"/>
  </r>
  <r>
    <x v="80"/>
    <n v="1666"/>
    <n v="1699"/>
    <x v="30"/>
    <x v="14"/>
    <x v="10"/>
    <n v="33"/>
    <x v="2"/>
    <x v="2"/>
  </r>
  <r>
    <x v="81"/>
    <n v="330"/>
    <n v="647"/>
    <x v="15"/>
    <x v="18"/>
    <x v="5"/>
    <n v="317"/>
    <x v="1"/>
    <x v="1"/>
  </r>
  <r>
    <x v="42"/>
    <n v="610"/>
    <n v="1060"/>
    <x v="11"/>
    <x v="14"/>
    <x v="10"/>
    <n v="450"/>
    <x v="2"/>
    <x v="1"/>
  </r>
  <r>
    <x v="48"/>
    <n v="176"/>
    <n v="345"/>
    <x v="15"/>
    <x v="14"/>
    <x v="10"/>
    <n v="169"/>
    <x v="2"/>
    <x v="1"/>
  </r>
  <r>
    <x v="82"/>
    <n v="1466"/>
    <n v="1699"/>
    <x v="40"/>
    <x v="14"/>
    <x v="10"/>
    <n v="233"/>
    <x v="2"/>
    <x v="2"/>
  </r>
  <r>
    <x v="83"/>
    <n v="274"/>
    <n v="537"/>
    <x v="15"/>
    <x v="14"/>
    <x v="10"/>
    <n v="263"/>
    <x v="2"/>
    <x v="1"/>
  </r>
  <r>
    <x v="84"/>
    <n v="799"/>
    <n v="900"/>
    <x v="41"/>
    <x v="14"/>
    <x v="10"/>
    <n v="101"/>
    <x v="2"/>
    <x v="2"/>
  </r>
  <r>
    <x v="56"/>
    <n v="657"/>
    <n v="1288"/>
    <x v="15"/>
    <x v="14"/>
    <x v="10"/>
    <n v="631"/>
    <x v="2"/>
    <x v="1"/>
  </r>
  <r>
    <x v="85"/>
    <n v="1468"/>
    <n v="1699"/>
    <x v="40"/>
    <x v="14"/>
    <x v="10"/>
    <n v="231"/>
    <x v="2"/>
    <x v="2"/>
  </r>
  <r>
    <x v="86"/>
    <n v="630"/>
    <n v="1100"/>
    <x v="37"/>
    <x v="14"/>
    <x v="10"/>
    <n v="470"/>
    <x v="2"/>
    <x v="1"/>
  </r>
  <r>
    <x v="87"/>
    <n v="850"/>
    <n v="1700"/>
    <x v="29"/>
    <x v="14"/>
    <x v="10"/>
    <n v="850"/>
    <x v="2"/>
    <x v="1"/>
  </r>
  <r>
    <x v="88"/>
    <n v="1300"/>
    <n v="2500"/>
    <x v="25"/>
    <x v="14"/>
    <x v="10"/>
    <n v="1200"/>
    <x v="2"/>
    <x v="1"/>
  </r>
  <r>
    <x v="89"/>
    <n v="105"/>
    <n v="200"/>
    <x v="25"/>
    <x v="14"/>
    <x v="10"/>
    <n v="95"/>
    <x v="2"/>
    <x v="1"/>
  </r>
  <r>
    <x v="90"/>
    <n v="899"/>
    <n v="1699"/>
    <x v="1"/>
    <x v="14"/>
    <x v="10"/>
    <n v="800"/>
    <x v="2"/>
    <x v="1"/>
  </r>
  <r>
    <x v="90"/>
    <n v="899"/>
    <n v="1699"/>
    <x v="1"/>
    <x v="14"/>
    <x v="10"/>
    <n v="800"/>
    <x v="2"/>
    <x v="1"/>
  </r>
  <r>
    <x v="91"/>
    <n v="1200"/>
    <n v="2400"/>
    <x v="29"/>
    <x v="14"/>
    <x v="10"/>
    <n v="1200"/>
    <x v="2"/>
    <x v="1"/>
  </r>
  <r>
    <x v="92"/>
    <n v="1526"/>
    <n v="1660"/>
    <x v="42"/>
    <x v="14"/>
    <x v="10"/>
    <n v="134"/>
    <x v="2"/>
    <x v="2"/>
  </r>
  <r>
    <x v="93"/>
    <n v="1462"/>
    <n v="1499"/>
    <x v="30"/>
    <x v="14"/>
    <x v="10"/>
    <n v="37"/>
    <x v="2"/>
    <x v="2"/>
  </r>
  <r>
    <x v="94"/>
    <n v="248"/>
    <n v="486"/>
    <x v="15"/>
    <x v="14"/>
    <x v="10"/>
    <n v="238"/>
    <x v="2"/>
    <x v="1"/>
  </r>
  <r>
    <x v="95"/>
    <n v="3546"/>
    <n v="3699"/>
    <x v="38"/>
    <x v="14"/>
    <x v="10"/>
    <n v="153"/>
    <x v="2"/>
    <x v="2"/>
  </r>
  <r>
    <x v="96"/>
    <n v="525"/>
    <n v="1029"/>
    <x v="15"/>
    <x v="14"/>
    <x v="10"/>
    <n v="504"/>
    <x v="2"/>
    <x v="1"/>
  </r>
  <r>
    <x v="97"/>
    <n v="1080"/>
    <n v="1874"/>
    <x v="11"/>
    <x v="14"/>
    <x v="10"/>
    <n v="794"/>
    <x v="2"/>
    <x v="1"/>
  </r>
  <r>
    <x v="98"/>
    <n v="3640"/>
    <n v="4588"/>
    <x v="43"/>
    <x v="18"/>
    <x v="8"/>
    <n v="948"/>
    <x v="0"/>
    <x v="0"/>
  </r>
  <r>
    <x v="99"/>
    <n v="1420"/>
    <n v="2420"/>
    <x v="28"/>
    <x v="14"/>
    <x v="10"/>
    <n v="1000"/>
    <x v="2"/>
    <x v="1"/>
  </r>
  <r>
    <x v="100"/>
    <n v="1875"/>
    <n v="1899"/>
    <x v="44"/>
    <x v="14"/>
    <x v="10"/>
    <n v="24"/>
    <x v="2"/>
    <x v="2"/>
  </r>
  <r>
    <x v="101"/>
    <n v="198"/>
    <n v="260"/>
    <x v="6"/>
    <x v="14"/>
    <x v="10"/>
    <n v="62"/>
    <x v="2"/>
    <x v="0"/>
  </r>
  <r>
    <x v="102"/>
    <n v="1150"/>
    <n v="1737"/>
    <x v="10"/>
    <x v="14"/>
    <x v="10"/>
    <n v="587"/>
    <x v="2"/>
    <x v="0"/>
  </r>
  <r>
    <x v="103"/>
    <n v="1190"/>
    <n v="1810"/>
    <x v="10"/>
    <x v="14"/>
    <x v="10"/>
    <n v="620"/>
    <x v="2"/>
    <x v="0"/>
  </r>
  <r>
    <x v="104"/>
    <n v="1658"/>
    <n v="1699"/>
    <x v="30"/>
    <x v="14"/>
    <x v="10"/>
    <n v="41"/>
    <x v="2"/>
    <x v="2"/>
  </r>
  <r>
    <x v="105"/>
    <n v="1768"/>
    <n v="1799"/>
    <x v="30"/>
    <x v="14"/>
    <x v="10"/>
    <n v="31"/>
    <x v="2"/>
    <x v="2"/>
  </r>
  <r>
    <x v="106"/>
    <n v="199"/>
    <n v="553"/>
    <x v="45"/>
    <x v="14"/>
    <x v="10"/>
    <n v="354"/>
    <x v="2"/>
    <x v="1"/>
  </r>
  <r>
    <x v="107"/>
    <n v="450"/>
    <n v="900"/>
    <x v="29"/>
    <x v="18"/>
    <x v="22"/>
    <n v="450"/>
    <x v="2"/>
    <x v="1"/>
  </r>
  <r>
    <x v="108"/>
    <n v="169"/>
    <n v="320"/>
    <x v="1"/>
    <x v="14"/>
    <x v="10"/>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89EC8-F73A-4D9F-B3FE-34769F687635}"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5" firstHeaderRow="0" firstDataRow="1" firstDataCol="1"/>
  <pivotFields count="9">
    <pivotField showAll="0"/>
    <pivotField numFmtId="2" showAll="0"/>
    <pivotField numFmtId="2" showAll="0"/>
    <pivotField dataField="1" numFmtId="9" showAll="0">
      <items count="10">
        <item x="0"/>
        <item x="1"/>
        <item x="2"/>
        <item x="3"/>
        <item x="4"/>
        <item x="5"/>
        <item x="6"/>
        <item x="7"/>
        <item x="8"/>
        <item t="default"/>
      </items>
    </pivotField>
    <pivotField showAll="0">
      <items count="17">
        <item x="0"/>
        <item x="1"/>
        <item x="2"/>
        <item x="3"/>
        <item x="4"/>
        <item x="5"/>
        <item x="6"/>
        <item x="7"/>
        <item x="8"/>
        <item x="9"/>
        <item x="10"/>
        <item x="11"/>
        <item x="12"/>
        <item x="13"/>
        <item x="14"/>
        <item x="15"/>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2" showAll="0"/>
    <pivotField showAll="0">
      <items count="4">
        <item x="1"/>
        <item x="0"/>
        <item x="2"/>
        <item t="default"/>
      </items>
    </pivotField>
    <pivotField axis="axisRow" showAll="0">
      <items count="5">
        <item h="1" m="1" x="3"/>
        <item x="2"/>
        <item x="0"/>
        <item x="1"/>
        <item t="default"/>
      </items>
    </pivotField>
  </pivotFields>
  <rowFields count="1">
    <field x="8"/>
  </rowFields>
  <rowItems count="4">
    <i>
      <x v="1"/>
    </i>
    <i>
      <x v="2"/>
    </i>
    <i>
      <x v="3"/>
    </i>
    <i t="grand">
      <x/>
    </i>
  </rowItems>
  <colFields count="1">
    <field x="-2"/>
  </colFields>
  <colItems count="2">
    <i>
      <x/>
    </i>
    <i i="1">
      <x v="1"/>
    </i>
  </colItems>
  <dataFields count="2">
    <dataField name="Average of DISCOUNT PERCENTAGE" fld="3" subtotal="average" baseField="0" baseItem="0" numFmtId="9"/>
    <dataField name="Average of RATING/5" fld="5" subtotal="average" baseField="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7A38C6-DC29-4903-8782-7BF87477A574}" name="PivotTable5"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C5" firstHeaderRow="0" firstDataRow="1" firstDataCol="1"/>
  <pivotFields count="9">
    <pivotField showAll="0"/>
    <pivotField numFmtId="2" showAll="0"/>
    <pivotField numFmtId="2" showAll="0"/>
    <pivotField numFmtId="9" showAll="0">
      <items count="10">
        <item x="0"/>
        <item x="1"/>
        <item x="2"/>
        <item x="3"/>
        <item x="4"/>
        <item x="5"/>
        <item x="6"/>
        <item x="7"/>
        <item x="8"/>
        <item t="default"/>
      </items>
    </pivotField>
    <pivotField dataField="1" showAll="0">
      <items count="17">
        <item x="0"/>
        <item x="1"/>
        <item x="2"/>
        <item x="3"/>
        <item x="4"/>
        <item x="5"/>
        <item x="6"/>
        <item x="7"/>
        <item x="8"/>
        <item x="9"/>
        <item x="10"/>
        <item x="11"/>
        <item x="12"/>
        <item x="13"/>
        <item x="14"/>
        <item x="15"/>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2" showAll="0"/>
    <pivotField showAll="0"/>
    <pivotField axis="axisRow" showAll="0">
      <items count="5">
        <item h="1" m="1" x="3"/>
        <item x="2"/>
        <item x="0"/>
        <item x="1"/>
        <item t="default"/>
      </items>
    </pivotField>
  </pivotFields>
  <rowFields count="1">
    <field x="8"/>
  </rowFields>
  <rowItems count="4">
    <i>
      <x v="1"/>
    </i>
    <i>
      <x v="2"/>
    </i>
    <i>
      <x v="3"/>
    </i>
    <i t="grand">
      <x/>
    </i>
  </rowItems>
  <colFields count="1">
    <field x="-2"/>
  </colFields>
  <colItems count="2">
    <i>
      <x/>
    </i>
    <i i="1">
      <x v="1"/>
    </i>
  </colItems>
  <dataFields count="2">
    <dataField name="Average of REVIEW" fld="4" subtotal="average" baseField="8" baseItem="0"/>
    <dataField name="Average of RATING/5" fld="5" subtotal="average" baseField="8" baseItem="1"/>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92D46-F1D2-4D68-B8AB-6BCC6A2951D1}" name="PivotTable7"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9">
    <pivotField showAll="0"/>
    <pivotField numFmtId="2" showAll="0"/>
    <pivotField numFmtId="2" showAll="0"/>
    <pivotField numFmtId="9" showAll="0">
      <items count="10">
        <item x="0"/>
        <item x="1"/>
        <item x="2"/>
        <item x="3"/>
        <item x="4"/>
        <item x="5"/>
        <item x="6"/>
        <item x="7"/>
        <item x="8"/>
        <item t="default"/>
      </items>
    </pivotField>
    <pivotField axis="axisRow" multipleItemSelectionAllowed="1" showAll="0">
      <items count="17">
        <item x="0"/>
        <item x="1"/>
        <item x="2"/>
        <item x="3"/>
        <item x="4"/>
        <item x="5"/>
        <item x="6"/>
        <item x="7"/>
        <item x="8"/>
        <item x="9"/>
        <item x="10"/>
        <item x="11"/>
        <item x="12"/>
        <item x="13"/>
        <item x="14"/>
        <item x="15"/>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2" showAll="0"/>
    <pivotField showAll="0"/>
    <pivotField showAll="0">
      <items count="5">
        <item h="1" m="1" x="3"/>
        <item x="1"/>
        <item x="2"/>
        <item x="0"/>
        <item t="default"/>
      </items>
    </pivotField>
  </pivotFields>
  <rowFields count="1">
    <field x="4"/>
  </rowFields>
  <rowItems count="13">
    <i>
      <x/>
    </i>
    <i>
      <x v="1"/>
    </i>
    <i>
      <x v="2"/>
    </i>
    <i>
      <x v="3"/>
    </i>
    <i>
      <x v="4"/>
    </i>
    <i>
      <x v="5"/>
    </i>
    <i>
      <x v="7"/>
    </i>
    <i>
      <x v="8"/>
    </i>
    <i>
      <x v="9"/>
    </i>
    <i>
      <x v="10"/>
    </i>
    <i>
      <x v="12"/>
    </i>
    <i>
      <x v="14"/>
    </i>
    <i t="grand">
      <x/>
    </i>
  </rowItems>
  <colItems count="1">
    <i/>
  </colItems>
  <dataFields count="1">
    <dataField name="Average of RATING/5" fld="5" subtotal="average" baseField="4" baseItem="14"/>
  </dataFields>
  <chartFormats count="2">
    <chartFormat chart="0" format="26" series="1">
      <pivotArea type="data" outline="0" fieldPosition="0">
        <references count="1">
          <reference field="4294967294" count="1" selected="0">
            <x v="0"/>
          </reference>
        </references>
      </pivotArea>
    </chartFormat>
    <chartFormat chart="19"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9B611-ADAC-45F9-B158-EA1305146CE0}" name="PivotTable6"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C9" firstHeaderRow="0" firstDataRow="1" firstDataCol="1"/>
  <pivotFields count="9">
    <pivotField showAll="0"/>
    <pivotField dataField="1" numFmtId="2" showAll="0"/>
    <pivotField numFmtId="2" showAll="0"/>
    <pivotField axis="axisRow" numFmtId="9" showAll="0">
      <items count="10">
        <item x="0"/>
        <item x="1"/>
        <item x="2"/>
        <item x="3"/>
        <item x="4"/>
        <item x="5"/>
        <item x="6"/>
        <item x="7"/>
        <item x="8"/>
        <item t="default"/>
      </items>
    </pivotField>
    <pivotField dataField="1" showAll="0">
      <items count="17">
        <item x="0"/>
        <item x="1"/>
        <item x="2"/>
        <item x="3"/>
        <item x="4"/>
        <item x="5"/>
        <item x="6"/>
        <item x="7"/>
        <item x="8"/>
        <item x="9"/>
        <item x="10"/>
        <item x="11"/>
        <item x="12"/>
        <item x="13"/>
        <item x="14"/>
        <item x="15"/>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numFmtId="2" showAll="0"/>
    <pivotField showAll="0">
      <items count="4">
        <item x="1"/>
        <item x="0"/>
        <item x="2"/>
        <item t="default"/>
      </items>
    </pivotField>
    <pivotField showAll="0">
      <items count="5">
        <item h="1" m="1" x="3"/>
        <item x="1"/>
        <item x="2"/>
        <item x="0"/>
        <item t="default"/>
      </items>
    </pivotField>
  </pivotFields>
  <rowFields count="1">
    <field x="3"/>
  </rowFields>
  <rowItems count="8">
    <i>
      <x v="1"/>
    </i>
    <i>
      <x v="2"/>
    </i>
    <i>
      <x v="3"/>
    </i>
    <i>
      <x v="4"/>
    </i>
    <i>
      <x v="5"/>
    </i>
    <i>
      <x v="6"/>
    </i>
    <i>
      <x v="7"/>
    </i>
    <i t="grand">
      <x/>
    </i>
  </rowItems>
  <colFields count="1">
    <field x="-2"/>
  </colFields>
  <colItems count="2">
    <i>
      <x/>
    </i>
    <i i="1">
      <x v="1"/>
    </i>
  </colItems>
  <dataFields count="2">
    <dataField name="Average of REVIEW" fld="4" subtotal="average" baseField="3" baseItem="8"/>
    <dataField name="Average of CURRENT PRICE" fld="1" subtotal="average" baseField="3" baseItem="8" numFmtId="2"/>
  </dataFields>
  <formats count="2">
    <format dxfId="0">
      <pivotArea field="3" type="button" dataOnly="0" labelOnly="1" outline="0" axis="axisRow" fieldPosition="0"/>
    </format>
    <format dxfId="1">
      <pivotArea dataOnly="0" labelOnly="1" grandRow="1" outline="0" fieldPosition="0"/>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PERCENTAGE" xr10:uid="{98606945-F3E3-4175-92DF-7A893564BF05}" sourceName="DISCOUNT PERCENTAGE">
  <pivotTables>
    <pivotTable tabId="3" name="PivotTable1"/>
    <pivotTable tabId="8" name="PivotTable5"/>
    <pivotTable tabId="10" name="PivotTable7"/>
    <pivotTable tabId="9" name="PivotTable6"/>
  </pivotTables>
  <data>
    <tabular pivotCacheId="265539832">
      <items count="9">
        <i x="1" s="1"/>
        <i x="2" s="1"/>
        <i x="3" s="1"/>
        <i x="4" s="1"/>
        <i x="5" s="1"/>
        <i x="6" s="1"/>
        <i x="7" s="1"/>
        <i x="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B4E8E2-2864-4932-BCE0-322E9C0C01DC}" sourceName="PRODUCT CATEGORY">
  <pivotTables>
    <pivotTable tabId="3" name="PivotTable1"/>
    <pivotTable tabId="8" name="PivotTable5"/>
    <pivotTable tabId="10" name="PivotTable7"/>
    <pivotTable tabId="9" name="PivotTable6"/>
  </pivotTables>
  <data>
    <tabular pivotCacheId="265539832">
      <items count="4">
        <i x="1" s="1"/>
        <i x="2"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5" xr10:uid="{BDC287CD-0323-49CE-8055-DCF05F5E069D}" sourceName="RATING/5">
  <pivotTables>
    <pivotTable tabId="3" name="PivotTable1"/>
    <pivotTable tabId="8" name="PivotTable5"/>
    <pivotTable tabId="10" name="PivotTable7"/>
    <pivotTable tabId="9" name="PivotTable6"/>
  </pivotTables>
  <data>
    <tabular pivotCacheId="265539832">
      <items count="23">
        <i x="22" s="1"/>
        <i x="15" s="1"/>
        <i x="19" s="1"/>
        <i x="20" s="1"/>
        <i x="13" s="1"/>
        <i x="21" s="1"/>
        <i x="17" s="1"/>
        <i x="16" s="1"/>
        <i x="18" s="1"/>
        <i x="14" s="1"/>
        <i x="9" s="1"/>
        <i x="6" s="1"/>
        <i x="5" s="1"/>
        <i x="1" s="1"/>
        <i x="7" s="1"/>
        <i x="12" s="1"/>
        <i x="11" s="1"/>
        <i x="0" s="1"/>
        <i x="2" s="1"/>
        <i x="3" s="1"/>
        <i x="4" s="1"/>
        <i x="8"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PERCENTAGE 1" xr10:uid="{3E647345-E1D2-4405-B405-50E95BF386ED}" cache="Slicer_DISCOUNT_PERCENTAGE" caption="DISCOUNT PERCENTAGE" startItem="5" rowHeight="241300"/>
  <slicer name="PRODUCT CATEGORY 1" xr10:uid="{D6A72C13-C312-4A3A-93D0-A8F206DEEF94}" cache="Slicer_PRODUCT_CATEGORY" caption="PRODUCT CATEGORY" rowHeight="241300"/>
  <slicer name="RATING/5 1" xr10:uid="{6BD0A2F0-7ECB-458C-A1F2-3F640C332EA1}" cache="Slicer_RATING_5" caption="RATING/5" startItem="1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PERCENTAGE" xr10:uid="{D6D2A23A-591A-43F5-BACC-03F4BD08A1BD}" cache="Slicer_DISCOUNT_PERCENTAGE" caption="DISCOUNT PERCENTAGE" rowHeight="241300"/>
  <slicer name="PRODUCT CATEGORY" xr10:uid="{CA2206DE-52EB-40AF-9F49-3592837E244C}" cache="Slicer_PRODUCT_CATEGORY" caption="PRODUCT CATEGORY" rowHeight="241300"/>
  <slicer name="RATING/5" xr10:uid="{6F954C5A-D7F3-423D-AAF0-BB06FA202910}" cache="Slicer_RATING_5" caption="RATING/5" rowHeight="24130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E009B-4514-45C7-861B-75C61F8E183F}">
  <dimension ref="A1"/>
  <sheetViews>
    <sheetView workbookViewId="0">
      <selection activeCell="F7" sqref="F7"/>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281C-F88D-44E1-AF53-A66879640FD5}">
  <dimension ref="A1:J123"/>
  <sheetViews>
    <sheetView workbookViewId="0">
      <selection activeCell="B11" sqref="B11"/>
    </sheetView>
  </sheetViews>
  <sheetFormatPr defaultRowHeight="15" x14ac:dyDescent="0.25"/>
  <cols>
    <col min="1" max="1" width="95.7109375" bestFit="1" customWidth="1"/>
    <col min="2" max="2" width="19.42578125" style="4" bestFit="1" customWidth="1"/>
    <col min="3" max="3" width="10" style="4" bestFit="1" customWidth="1"/>
    <col min="4" max="4" width="22.7109375" style="8" bestFit="1" customWidth="1"/>
    <col min="5" max="5" width="8" style="13" bestFit="1" customWidth="1"/>
    <col min="6" max="6" width="19.5703125" bestFit="1" customWidth="1"/>
    <col min="7" max="7" width="29.28515625" bestFit="1" customWidth="1"/>
    <col min="8" max="8" width="18.140625" bestFit="1" customWidth="1"/>
    <col min="9" max="9" width="19.85546875" bestFit="1" customWidth="1"/>
  </cols>
  <sheetData>
    <row r="1" spans="1:10" x14ac:dyDescent="0.25">
      <c r="A1" s="2" t="s">
        <v>109</v>
      </c>
      <c r="B1" s="3" t="s">
        <v>110</v>
      </c>
      <c r="C1" s="3" t="s">
        <v>111</v>
      </c>
      <c r="D1" s="7" t="s">
        <v>113</v>
      </c>
      <c r="E1" s="17" t="s">
        <v>112</v>
      </c>
      <c r="F1" s="2" t="s">
        <v>122</v>
      </c>
      <c r="G1" s="2" t="s">
        <v>115</v>
      </c>
      <c r="H1" s="2" t="s">
        <v>116</v>
      </c>
      <c r="I1" s="2" t="s">
        <v>114</v>
      </c>
      <c r="J1" s="10"/>
    </row>
    <row r="2" spans="1:10" x14ac:dyDescent="0.25">
      <c r="A2" t="s">
        <v>60</v>
      </c>
      <c r="B2" s="4">
        <v>2115</v>
      </c>
      <c r="C2" s="4">
        <v>4700</v>
      </c>
      <c r="D2" s="8">
        <v>0.55000000000000004</v>
      </c>
      <c r="E2" s="13">
        <v>13</v>
      </c>
      <c r="F2">
        <v>2.1</v>
      </c>
      <c r="G2" s="4">
        <f>C2-B2</f>
        <v>2585</v>
      </c>
      <c r="H2" t="str">
        <f>IF(F2&lt;3,"Poor",IF(F2&lt;4.5,"Average","Excellent"))</f>
        <v>Poor</v>
      </c>
      <c r="I2" t="str">
        <f>IF(D2&lt;20%,"Low Discount",IF(D2&lt;41%,"Medium Discount","High Discount"))</f>
        <v>High Discount</v>
      </c>
      <c r="J2" s="4"/>
    </row>
    <row r="3" spans="1:10" x14ac:dyDescent="0.25">
      <c r="A3" t="s">
        <v>24</v>
      </c>
      <c r="B3" s="4">
        <v>2048</v>
      </c>
      <c r="C3" s="4">
        <v>4500</v>
      </c>
      <c r="D3" s="8">
        <v>0.54</v>
      </c>
      <c r="E3" s="13">
        <v>7</v>
      </c>
      <c r="F3">
        <v>4.3</v>
      </c>
      <c r="G3" s="4">
        <f>C3-B3</f>
        <v>2452</v>
      </c>
      <c r="H3" t="str">
        <f>IF(F3&lt;3,"Poor",IF(F3&lt;4.5,"Average","Excellent"))</f>
        <v>Average</v>
      </c>
      <c r="I3" t="str">
        <f>IF(D3&lt;20%,"Low Discount",IF(D3&lt;41%,"Medium Discount","High Discount"))</f>
        <v>High Discount</v>
      </c>
    </row>
    <row r="4" spans="1:10" x14ac:dyDescent="0.25">
      <c r="A4" t="s">
        <v>66</v>
      </c>
      <c r="B4" s="4">
        <v>3750</v>
      </c>
      <c r="C4" s="4">
        <v>6143</v>
      </c>
      <c r="D4" s="8">
        <v>0.39</v>
      </c>
      <c r="E4" s="13">
        <v>5</v>
      </c>
      <c r="F4">
        <v>3</v>
      </c>
      <c r="G4" s="4">
        <f>C4-B4</f>
        <v>2393</v>
      </c>
      <c r="H4" t="str">
        <f>IF(F4&lt;3,"Poor",IF(F4&lt;4.5,"Average","Excellent"))</f>
        <v>Average</v>
      </c>
      <c r="I4" t="str">
        <f>IF(D4&lt;20%,"Low Discount",IF(D4&lt;41%,"Medium Discount","High Discount"))</f>
        <v>Medium Discount</v>
      </c>
    </row>
    <row r="5" spans="1:10" x14ac:dyDescent="0.25">
      <c r="A5" t="s">
        <v>17</v>
      </c>
      <c r="B5" s="4">
        <v>2025</v>
      </c>
      <c r="C5" s="4">
        <v>3971</v>
      </c>
      <c r="D5" s="8">
        <v>0.49</v>
      </c>
      <c r="E5" s="13">
        <v>3</v>
      </c>
      <c r="F5">
        <v>5</v>
      </c>
      <c r="G5" s="4">
        <f>C5-B5</f>
        <v>1946</v>
      </c>
      <c r="H5" t="str">
        <f>IF(F5&lt;3,"Poor",IF(F5&lt;4.5,"Average","Excellent"))</f>
        <v>Excellent</v>
      </c>
      <c r="I5" t="str">
        <f>IF(D5&lt;20%,"Low Discount",IF(D5&lt;41%,"Medium Discount","High Discount"))</f>
        <v>High Discount</v>
      </c>
    </row>
    <row r="6" spans="1:10" x14ac:dyDescent="0.25">
      <c r="A6" t="s">
        <v>29</v>
      </c>
      <c r="B6" s="4">
        <v>2200</v>
      </c>
      <c r="C6" s="4">
        <v>4080</v>
      </c>
      <c r="D6" s="8">
        <v>0.46</v>
      </c>
      <c r="G6" s="4">
        <f>C6-B6</f>
        <v>1880</v>
      </c>
      <c r="H6" t="str">
        <f>IF(F6&lt;3,"Poor",IF(F6&lt;4.5,"Average","Excellent"))</f>
        <v>Poor</v>
      </c>
      <c r="I6" t="str">
        <f>IF(D6&lt;20%,"Low Discount",IF(D6&lt;41%,"Medium Discount","High Discount"))</f>
        <v>High Discount</v>
      </c>
    </row>
    <row r="7" spans="1:10" x14ac:dyDescent="0.25">
      <c r="A7" t="s">
        <v>39</v>
      </c>
      <c r="B7" s="4">
        <v>2750</v>
      </c>
      <c r="C7" s="4">
        <v>4471</v>
      </c>
      <c r="D7" s="8">
        <v>0.38</v>
      </c>
      <c r="G7" s="4">
        <f>C7-B7</f>
        <v>1721</v>
      </c>
      <c r="H7" t="str">
        <f>IF(F7&lt;3,"Poor",IF(F7&lt;4.5,"Average","Excellent"))</f>
        <v>Poor</v>
      </c>
      <c r="I7" t="str">
        <f>IF(D7&lt;20%,"Low Discount",IF(D7&lt;41%,"Medium Discount","High Discount"))</f>
        <v>Medium Discount</v>
      </c>
    </row>
    <row r="8" spans="1:10" x14ac:dyDescent="0.25">
      <c r="A8" t="s">
        <v>32</v>
      </c>
      <c r="B8" s="4">
        <v>1820</v>
      </c>
      <c r="C8" s="4">
        <v>3490</v>
      </c>
      <c r="D8" s="8">
        <v>0.48</v>
      </c>
      <c r="E8" s="13">
        <v>9</v>
      </c>
      <c r="F8">
        <v>4.3</v>
      </c>
      <c r="G8" s="4">
        <f>C8-B8</f>
        <v>1670</v>
      </c>
      <c r="H8" t="str">
        <f>IF(F8&lt;3,"Poor",IF(F8&lt;4.5,"Average","Excellent"))</f>
        <v>Average</v>
      </c>
      <c r="I8" t="str">
        <f>IF(D8&lt;20%,"Low Discount",IF(D8&lt;41%,"Medium Discount","High Discount"))</f>
        <v>High Discount</v>
      </c>
    </row>
    <row r="9" spans="1:10" x14ac:dyDescent="0.25">
      <c r="A9" t="s">
        <v>8</v>
      </c>
      <c r="B9" s="4">
        <v>1274</v>
      </c>
      <c r="C9" s="4">
        <v>2800</v>
      </c>
      <c r="D9" s="8">
        <v>0.55000000000000004</v>
      </c>
      <c r="E9" s="13">
        <v>5</v>
      </c>
      <c r="F9">
        <v>4.8</v>
      </c>
      <c r="G9" s="4">
        <f>C9-B9</f>
        <v>1526</v>
      </c>
      <c r="H9" t="str">
        <f>IF(F9&lt;3,"Poor",IF(F9&lt;4.5,"Average","Excellent"))</f>
        <v>Excellent</v>
      </c>
      <c r="I9" t="str">
        <f>IF(D9&lt;20%,"Low Discount",IF(D9&lt;41%,"Medium Discount","High Discount"))</f>
        <v>High Discount</v>
      </c>
    </row>
    <row r="10" spans="1:10" x14ac:dyDescent="0.25">
      <c r="A10" t="s">
        <v>72</v>
      </c>
      <c r="B10" s="4">
        <v>1570</v>
      </c>
      <c r="C10" s="4">
        <v>2988</v>
      </c>
      <c r="D10" s="8">
        <v>0.47</v>
      </c>
      <c r="E10" s="13">
        <v>7</v>
      </c>
      <c r="F10">
        <v>2.1</v>
      </c>
      <c r="G10" s="4">
        <f>C10-B10</f>
        <v>1418</v>
      </c>
      <c r="H10" t="str">
        <f>IF(F10&lt;3,"Poor",IF(F10&lt;4.5,"Average","Excellent"))</f>
        <v>Poor</v>
      </c>
      <c r="I10" t="str">
        <f>IF(D10&lt;20%,"Low Discount",IF(D10&lt;41%,"Medium Discount","High Discount"))</f>
        <v>High Discount</v>
      </c>
    </row>
    <row r="11" spans="1:10" x14ac:dyDescent="0.25">
      <c r="A11" t="s">
        <v>21</v>
      </c>
      <c r="B11" s="4">
        <v>1860</v>
      </c>
      <c r="C11" s="4">
        <v>3220</v>
      </c>
      <c r="D11" s="8">
        <v>0.42</v>
      </c>
      <c r="G11" s="4">
        <f>C11-B11</f>
        <v>1360</v>
      </c>
      <c r="H11" t="str">
        <f>IF(F11&lt;3,"Poor",IF(F11&lt;4.5,"Average","Excellent"))</f>
        <v>Poor</v>
      </c>
      <c r="I11" t="str">
        <f>IF(D11&lt;20%,"Low Discount",IF(D11&lt;41%,"Medium Discount","High Discount"))</f>
        <v>High Discount</v>
      </c>
    </row>
    <row r="12" spans="1:10" x14ac:dyDescent="0.25">
      <c r="A12" t="s">
        <v>9</v>
      </c>
      <c r="B12" s="4">
        <v>1600</v>
      </c>
      <c r="C12" s="4">
        <v>2929</v>
      </c>
      <c r="D12" s="8">
        <v>0.45</v>
      </c>
      <c r="E12" s="13">
        <v>5</v>
      </c>
      <c r="F12">
        <v>3.8</v>
      </c>
      <c r="G12" s="4">
        <f>C12-B12</f>
        <v>1329</v>
      </c>
      <c r="H12" t="str">
        <f>IF(F12&lt;3,"Poor",IF(F12&lt;4.5,"Average","Excellent"))</f>
        <v>Average</v>
      </c>
      <c r="I12" t="str">
        <f>IF(D12&lt;20%,"Low Discount",IF(D12&lt;41%,"Medium Discount","High Discount"))</f>
        <v>High Discount</v>
      </c>
    </row>
    <row r="13" spans="1:10" x14ac:dyDescent="0.25">
      <c r="A13" t="s">
        <v>88</v>
      </c>
      <c r="B13" s="4">
        <v>1300</v>
      </c>
      <c r="C13" s="4">
        <v>2500</v>
      </c>
      <c r="D13" s="8">
        <v>0.48</v>
      </c>
      <c r="G13" s="4">
        <f>C13-B13</f>
        <v>1200</v>
      </c>
      <c r="H13" t="str">
        <f>IF(F13&lt;3,"Poor",IF(F13&lt;4.5,"Average","Excellent"))</f>
        <v>Poor</v>
      </c>
      <c r="I13" t="str">
        <f>IF(D13&lt;20%,"Low Discount",IF(D13&lt;41%,"Medium Discount","High Discount"))</f>
        <v>High Discount</v>
      </c>
    </row>
    <row r="14" spans="1:10" x14ac:dyDescent="0.25">
      <c r="A14" t="s">
        <v>91</v>
      </c>
      <c r="B14" s="4">
        <v>1200</v>
      </c>
      <c r="C14" s="4">
        <v>2400</v>
      </c>
      <c r="D14" s="8">
        <v>0.5</v>
      </c>
      <c r="G14" s="4">
        <f>C14-B14</f>
        <v>1200</v>
      </c>
      <c r="H14" t="str">
        <f>IF(F14&lt;3,"Poor",IF(F14&lt;4.5,"Average","Excellent"))</f>
        <v>Poor</v>
      </c>
      <c r="I14" t="str">
        <f>IF(D14&lt;20%,"Low Discount",IF(D14&lt;41%,"Medium Discount","High Discount"))</f>
        <v>High Discount</v>
      </c>
    </row>
    <row r="15" spans="1:10" x14ac:dyDescent="0.25">
      <c r="A15" s="5" t="s">
        <v>35</v>
      </c>
      <c r="B15" s="6">
        <v>1620</v>
      </c>
      <c r="C15" s="6">
        <v>2690</v>
      </c>
      <c r="D15" s="9">
        <v>0.4</v>
      </c>
      <c r="E15" s="13">
        <v>1</v>
      </c>
      <c r="F15">
        <v>5</v>
      </c>
      <c r="G15" s="4">
        <f>C15-B15</f>
        <v>1070</v>
      </c>
      <c r="H15" s="5" t="str">
        <f>IF(F15&lt;3,"Poor",IF(F15&lt;4.5,"Average","Excellent"))</f>
        <v>Excellent</v>
      </c>
      <c r="I15" t="str">
        <f>IF(D15&lt;20%,"Low Discount",IF(D15&lt;41%,"Medium Discount","High Discount"))</f>
        <v>Medium Discount</v>
      </c>
    </row>
    <row r="16" spans="1:10" x14ac:dyDescent="0.25">
      <c r="A16" t="s">
        <v>57</v>
      </c>
      <c r="B16" s="4">
        <v>2799</v>
      </c>
      <c r="C16" s="4">
        <v>3810</v>
      </c>
      <c r="D16" s="8">
        <v>0.27</v>
      </c>
      <c r="G16" s="4">
        <f>C16-B16</f>
        <v>1011</v>
      </c>
      <c r="H16" t="str">
        <f>IF(F16&lt;3,"Poor",IF(F16&lt;4.5,"Average","Excellent"))</f>
        <v>Poor</v>
      </c>
      <c r="I16" t="str">
        <f>IF(D16&lt;20%,"Low Discount",IF(D16&lt;41%,"Medium Discount","High Discount"))</f>
        <v>Medium Discount</v>
      </c>
    </row>
    <row r="17" spans="1:9" x14ac:dyDescent="0.25">
      <c r="A17" t="s">
        <v>77</v>
      </c>
      <c r="B17" s="4">
        <v>1189</v>
      </c>
      <c r="C17" s="4">
        <v>2199</v>
      </c>
      <c r="D17" s="8">
        <v>0.46</v>
      </c>
      <c r="E17" s="13">
        <v>1</v>
      </c>
      <c r="F17">
        <v>3</v>
      </c>
      <c r="G17" s="4">
        <f>C17-B17</f>
        <v>1010</v>
      </c>
      <c r="H17" t="str">
        <f>IF(F17&lt;3,"Poor",IF(F17&lt;4.5,"Average","Excellent"))</f>
        <v>Average</v>
      </c>
      <c r="I17" t="str">
        <f>IF(D17&lt;20%,"Low Discount",IF(D17&lt;41%,"Medium Discount","High Discount"))</f>
        <v>High Discount</v>
      </c>
    </row>
    <row r="18" spans="1:9" x14ac:dyDescent="0.25">
      <c r="A18" t="s">
        <v>44</v>
      </c>
      <c r="B18" s="4">
        <v>999</v>
      </c>
      <c r="C18" s="4">
        <v>2000</v>
      </c>
      <c r="D18" s="8">
        <v>0.5</v>
      </c>
      <c r="G18" s="4">
        <f>C18-B18</f>
        <v>1001</v>
      </c>
      <c r="H18" t="str">
        <f>IF(F18&lt;3,"Poor",IF(F18&lt;4.5,"Average","Excellent"))</f>
        <v>Poor</v>
      </c>
      <c r="I18" t="str">
        <f>IF(D18&lt;20%,"Low Discount",IF(D18&lt;41%,"Medium Discount","High Discount"))</f>
        <v>High Discount</v>
      </c>
    </row>
    <row r="19" spans="1:9" x14ac:dyDescent="0.25">
      <c r="A19" t="s">
        <v>65</v>
      </c>
      <c r="B19" s="4">
        <v>1000</v>
      </c>
      <c r="C19" s="4">
        <v>2000</v>
      </c>
      <c r="D19" s="8">
        <v>0.5</v>
      </c>
      <c r="E19" s="13">
        <v>7</v>
      </c>
      <c r="F19">
        <v>2.2999999999999998</v>
      </c>
      <c r="G19" s="4">
        <f>C19-B19</f>
        <v>1000</v>
      </c>
      <c r="H19" t="str">
        <f>IF(F19&lt;3,"Poor",IF(F19&lt;4.5,"Average","Excellent"))</f>
        <v>Poor</v>
      </c>
      <c r="I19" t="str">
        <f>IF(D19&lt;20%,"Low Discount",IF(D19&lt;41%,"Medium Discount","High Discount"))</f>
        <v>High Discount</v>
      </c>
    </row>
    <row r="20" spans="1:9" x14ac:dyDescent="0.25">
      <c r="A20" t="s">
        <v>99</v>
      </c>
      <c r="B20" s="4">
        <v>1420</v>
      </c>
      <c r="C20" s="4">
        <v>2420</v>
      </c>
      <c r="D20" s="8">
        <v>0.41</v>
      </c>
      <c r="G20" s="4">
        <f>C20-B20</f>
        <v>1000</v>
      </c>
      <c r="H20" t="str">
        <f>IF(F20&lt;3,"Poor",IF(F20&lt;4.5,"Average","Excellent"))</f>
        <v>Poor</v>
      </c>
      <c r="I20" t="str">
        <f>IF(D20&lt;20%,"Low Discount",IF(D20&lt;41%,"Medium Discount","High Discount"))</f>
        <v>High Discount</v>
      </c>
    </row>
    <row r="21" spans="1:9" x14ac:dyDescent="0.25">
      <c r="A21" t="s">
        <v>19</v>
      </c>
      <c r="B21" s="4">
        <v>998</v>
      </c>
      <c r="C21" s="4">
        <v>1966</v>
      </c>
      <c r="D21" s="8">
        <v>0.49</v>
      </c>
      <c r="E21" s="13">
        <v>44</v>
      </c>
      <c r="F21">
        <v>4.5999999999999996</v>
      </c>
      <c r="G21" s="4">
        <f>C21-B21</f>
        <v>968</v>
      </c>
      <c r="H21" t="str">
        <f>IF(F21&lt;3,"Poor",IF(F21&lt;4.5,"Average","Excellent"))</f>
        <v>Excellent</v>
      </c>
      <c r="I21" t="str">
        <f>IF(D21&lt;20%,"Low Discount",IF(D21&lt;41%,"Medium Discount","High Discount"))</f>
        <v>High Discount</v>
      </c>
    </row>
    <row r="22" spans="1:9" x14ac:dyDescent="0.25">
      <c r="A22" t="s">
        <v>98</v>
      </c>
      <c r="B22" s="4">
        <v>3640</v>
      </c>
      <c r="C22" s="4">
        <v>4588</v>
      </c>
      <c r="D22" s="8">
        <v>0.21</v>
      </c>
      <c r="E22" s="13">
        <v>1</v>
      </c>
      <c r="F22">
        <v>5</v>
      </c>
      <c r="G22" s="4">
        <f>C22-B22</f>
        <v>948</v>
      </c>
      <c r="H22" t="str">
        <f>IF(F22&lt;3,"Poor",IF(F22&lt;4.5,"Average","Excellent"))</f>
        <v>Excellent</v>
      </c>
      <c r="I22" t="str">
        <f>IF(D22&lt;20%,"Low Discount",IF(D22&lt;41%,"Medium Discount","High Discount"))</f>
        <v>Medium Discount</v>
      </c>
    </row>
    <row r="23" spans="1:9" x14ac:dyDescent="0.25">
      <c r="A23" t="s">
        <v>78</v>
      </c>
      <c r="B23" s="4">
        <v>979</v>
      </c>
      <c r="C23" s="4">
        <v>1920</v>
      </c>
      <c r="D23" s="8">
        <v>0.49</v>
      </c>
      <c r="E23" s="13">
        <v>1</v>
      </c>
      <c r="F23">
        <v>5</v>
      </c>
      <c r="G23" s="4">
        <f>C23-B23</f>
        <v>941</v>
      </c>
      <c r="H23" t="str">
        <f>IF(F23&lt;3,"Poor",IF(F23&lt;4.5,"Average","Excellent"))</f>
        <v>Excellent</v>
      </c>
      <c r="I23" t="str">
        <f>IF(D23&lt;20%,"Low Discount",IF(D23&lt;41%,"Medium Discount","High Discount"))</f>
        <v>High Discount</v>
      </c>
    </row>
    <row r="24" spans="1:9" x14ac:dyDescent="0.25">
      <c r="A24" t="s">
        <v>68</v>
      </c>
      <c r="B24" s="4">
        <v>2300</v>
      </c>
      <c r="C24" s="4">
        <v>3240</v>
      </c>
      <c r="D24" s="8">
        <v>0.28999999999999998</v>
      </c>
      <c r="E24" s="13">
        <v>5</v>
      </c>
      <c r="F24">
        <v>3</v>
      </c>
      <c r="G24" s="4">
        <f>C24-B24</f>
        <v>940</v>
      </c>
      <c r="H24" t="str">
        <f>IF(F24&lt;3,"Poor",IF(F24&lt;4.5,"Average","Excellent"))</f>
        <v>Average</v>
      </c>
      <c r="I24" t="str">
        <f>IF(D24&lt;20%,"Low Discount",IF(D24&lt;41%,"Medium Discount","High Discount"))</f>
        <v>Medium Discount</v>
      </c>
    </row>
    <row r="25" spans="1:9" x14ac:dyDescent="0.25">
      <c r="A25" t="s">
        <v>3</v>
      </c>
      <c r="B25" s="4">
        <v>1580</v>
      </c>
      <c r="C25" s="4">
        <v>2499</v>
      </c>
      <c r="D25" s="8">
        <v>0.37</v>
      </c>
      <c r="E25" s="13">
        <v>7</v>
      </c>
      <c r="F25">
        <v>4.7</v>
      </c>
      <c r="G25" s="4">
        <f>C25-B25</f>
        <v>919</v>
      </c>
      <c r="H25" t="str">
        <f>IF(F25&lt;3,"Poor",IF(F25&lt;4.5,"Average","Excellent"))</f>
        <v>Excellent</v>
      </c>
      <c r="I25" t="str">
        <f>IF(D25&lt;20%,"Low Discount",IF(D25&lt;41%,"Medium Discount","High Discount"))</f>
        <v>Medium Discount</v>
      </c>
    </row>
    <row r="26" spans="1:9" x14ac:dyDescent="0.25">
      <c r="A26" t="s">
        <v>87</v>
      </c>
      <c r="B26" s="4">
        <v>850</v>
      </c>
      <c r="C26" s="4">
        <v>1700</v>
      </c>
      <c r="D26" s="8">
        <v>0.5</v>
      </c>
      <c r="G26" s="4">
        <f>C26-B26</f>
        <v>850</v>
      </c>
      <c r="H26" t="str">
        <f>IF(F26&lt;3,"Poor",IF(F26&lt;4.5,"Average","Excellent"))</f>
        <v>Poor</v>
      </c>
      <c r="I26" t="str">
        <f>IF(D26&lt;20%,"Low Discount",IF(D26&lt;41%,"Medium Discount","High Discount"))</f>
        <v>High Discount</v>
      </c>
    </row>
    <row r="27" spans="1:9" x14ac:dyDescent="0.25">
      <c r="A27" t="s">
        <v>71</v>
      </c>
      <c r="B27" s="4">
        <v>968</v>
      </c>
      <c r="C27" s="4">
        <v>1814</v>
      </c>
      <c r="D27" s="8">
        <v>0.47</v>
      </c>
      <c r="E27" s="13">
        <v>6</v>
      </c>
      <c r="F27">
        <v>2.2000000000000002</v>
      </c>
      <c r="G27" s="6">
        <f>C27-B27</f>
        <v>846</v>
      </c>
      <c r="H27" t="str">
        <f>IF(F27&lt;3,"Poor",IF(F27&lt;4.5,"Average","Excellent"))</f>
        <v>Poor</v>
      </c>
      <c r="I27" t="str">
        <f>IF(D27&lt;20%,"Low Discount",IF(D27&lt;41%,"Medium Discount","High Discount"))</f>
        <v>High Discount</v>
      </c>
    </row>
    <row r="28" spans="1:9" x14ac:dyDescent="0.25">
      <c r="A28" t="s">
        <v>79</v>
      </c>
      <c r="B28" s="4">
        <v>1460</v>
      </c>
      <c r="C28" s="4">
        <v>2290</v>
      </c>
      <c r="D28" s="8">
        <v>0.36</v>
      </c>
      <c r="G28" s="4">
        <f>C28-B28</f>
        <v>830</v>
      </c>
      <c r="H28" t="str">
        <f>IF(F28&lt;3,"Poor",IF(F28&lt;4.5,"Average","Excellent"))</f>
        <v>Poor</v>
      </c>
      <c r="I28" t="str">
        <f>IF(D28&lt;20%,"Low Discount",IF(D28&lt;41%,"Medium Discount","High Discount"))</f>
        <v>Medium Discount</v>
      </c>
    </row>
    <row r="29" spans="1:9" x14ac:dyDescent="0.25">
      <c r="A29" t="s">
        <v>64</v>
      </c>
      <c r="B29" s="4">
        <v>990</v>
      </c>
      <c r="C29" s="4">
        <v>1814</v>
      </c>
      <c r="D29" s="8">
        <v>0.45</v>
      </c>
      <c r="E29" s="13">
        <v>6</v>
      </c>
      <c r="F29">
        <v>2.2000000000000002</v>
      </c>
      <c r="G29" s="4">
        <f>C29-B29</f>
        <v>824</v>
      </c>
      <c r="H29" t="str">
        <f>IF(F29&lt;3,"Poor",IF(F29&lt;4.5,"Average","Excellent"))</f>
        <v>Poor</v>
      </c>
      <c r="I29" t="str">
        <f>IF(D29&lt;20%,"Low Discount",IF(D29&lt;41%,"Medium Discount","High Discount"))</f>
        <v>High Discount</v>
      </c>
    </row>
    <row r="30" spans="1:9" x14ac:dyDescent="0.25">
      <c r="A30" t="s">
        <v>14</v>
      </c>
      <c r="B30" s="4">
        <v>1680</v>
      </c>
      <c r="C30" s="4">
        <v>2499</v>
      </c>
      <c r="D30" s="8">
        <v>0.33</v>
      </c>
      <c r="E30" s="13">
        <v>9</v>
      </c>
      <c r="F30">
        <v>4.2</v>
      </c>
      <c r="G30" s="4">
        <f>C30-B30</f>
        <v>819</v>
      </c>
      <c r="H30" t="str">
        <f>IF(F30&lt;3,"Poor",IF(F30&lt;4.5,"Average","Excellent"))</f>
        <v>Average</v>
      </c>
      <c r="I30" t="str">
        <f>IF(D30&lt;20%,"Low Discount",IF(D30&lt;41%,"Medium Discount","High Discount"))</f>
        <v>Medium Discount</v>
      </c>
    </row>
    <row r="31" spans="1:9" x14ac:dyDescent="0.25">
      <c r="A31" t="s">
        <v>90</v>
      </c>
      <c r="B31" s="4">
        <v>899</v>
      </c>
      <c r="C31" s="4">
        <v>1699</v>
      </c>
      <c r="D31" s="8">
        <v>0.47</v>
      </c>
      <c r="G31" s="4">
        <f>C31-B31</f>
        <v>800</v>
      </c>
      <c r="H31" t="str">
        <f>IF(F31&lt;3,"Poor",IF(F31&lt;4.5,"Average","Excellent"))</f>
        <v>Poor</v>
      </c>
      <c r="I31" t="str">
        <f>IF(D31&lt;20%,"Low Discount",IF(D31&lt;41%,"Medium Discount","High Discount"))</f>
        <v>High Discount</v>
      </c>
    </row>
    <row r="32" spans="1:9" x14ac:dyDescent="0.25">
      <c r="A32" t="s">
        <v>90</v>
      </c>
      <c r="B32" s="4">
        <v>899</v>
      </c>
      <c r="C32" s="4">
        <v>1699</v>
      </c>
      <c r="D32" s="8">
        <v>0.47</v>
      </c>
      <c r="G32" s="4">
        <f>C32-B32</f>
        <v>800</v>
      </c>
      <c r="H32" t="str">
        <f>IF(F32&lt;3,"Poor",IF(F32&lt;4.5,"Average","Excellent"))</f>
        <v>Poor</v>
      </c>
      <c r="I32" t="str">
        <f>IF(D32&lt;20%,"Low Discount",IF(D32&lt;41%,"Medium Discount","High Discount"))</f>
        <v>High Discount</v>
      </c>
    </row>
    <row r="33" spans="1:9" x14ac:dyDescent="0.25">
      <c r="A33" t="s">
        <v>97</v>
      </c>
      <c r="B33" s="4">
        <v>1080</v>
      </c>
      <c r="C33" s="4">
        <v>1874</v>
      </c>
      <c r="D33" s="8">
        <v>0.42</v>
      </c>
      <c r="G33" s="4">
        <f>C33-B33</f>
        <v>794</v>
      </c>
      <c r="H33" t="str">
        <f>IF(F33&lt;3,"Poor",IF(F33&lt;4.5,"Average","Excellent"))</f>
        <v>Poor</v>
      </c>
      <c r="I33" t="str">
        <f>IF(D33&lt;20%,"Low Discount",IF(D33&lt;41%,"Medium Discount","High Discount"))</f>
        <v>High Discount</v>
      </c>
    </row>
    <row r="34" spans="1:9" x14ac:dyDescent="0.25">
      <c r="A34" t="s">
        <v>56</v>
      </c>
      <c r="B34" s="4">
        <v>799</v>
      </c>
      <c r="C34" s="4">
        <v>1567</v>
      </c>
      <c r="D34" s="8">
        <v>0.49</v>
      </c>
      <c r="G34" s="4">
        <f>C34-B34</f>
        <v>768</v>
      </c>
      <c r="H34" t="str">
        <f>IF(F34&lt;3,"Poor",IF(F34&lt;4.5,"Average","Excellent"))</f>
        <v>Poor</v>
      </c>
      <c r="I34" t="str">
        <f>IF(D34&lt;20%,"Low Discount",IF(D34&lt;41%,"Medium Discount","High Discount"))</f>
        <v>High Discount</v>
      </c>
    </row>
    <row r="35" spans="1:9" x14ac:dyDescent="0.25">
      <c r="A35" t="s">
        <v>47</v>
      </c>
      <c r="B35" s="4">
        <v>1200</v>
      </c>
      <c r="C35" s="4">
        <v>1950</v>
      </c>
      <c r="D35" s="8">
        <v>0.38</v>
      </c>
      <c r="G35" s="4">
        <f>C35-B35</f>
        <v>750</v>
      </c>
      <c r="H35" t="str">
        <f>IF(F35&lt;3,"Poor",IF(F35&lt;4.5,"Average","Excellent"))</f>
        <v>Poor</v>
      </c>
      <c r="I35" t="str">
        <f>IF(D35&lt;20%,"Low Discount",IF(D35&lt;41%,"Medium Discount","High Discount"))</f>
        <v>Medium Discount</v>
      </c>
    </row>
    <row r="36" spans="1:9" x14ac:dyDescent="0.25">
      <c r="A36" t="s">
        <v>28</v>
      </c>
      <c r="B36" s="4">
        <v>1758</v>
      </c>
      <c r="C36" s="4">
        <v>2499</v>
      </c>
      <c r="D36" s="8">
        <v>0.3</v>
      </c>
      <c r="E36" s="13">
        <v>20</v>
      </c>
      <c r="F36">
        <v>4.0999999999999996</v>
      </c>
      <c r="G36" s="4">
        <f>C36-B36</f>
        <v>741</v>
      </c>
      <c r="H36" t="str">
        <f>IF(F36&lt;3,"Poor",IF(F36&lt;4.5,"Average","Excellent"))</f>
        <v>Average</v>
      </c>
      <c r="I36" t="str">
        <f>IF(D36&lt;20%,"Low Discount",IF(D36&lt;41%,"Medium Discount","High Discount"))</f>
        <v>Medium Discount</v>
      </c>
    </row>
    <row r="37" spans="1:9" s="5" customFormat="1" x14ac:dyDescent="0.25">
      <c r="A37" t="s">
        <v>2</v>
      </c>
      <c r="B37" s="4">
        <v>2199</v>
      </c>
      <c r="C37" s="4">
        <v>2923</v>
      </c>
      <c r="D37" s="8">
        <v>0.25</v>
      </c>
      <c r="E37" s="13">
        <v>24</v>
      </c>
      <c r="F37">
        <v>4.5999999999999996</v>
      </c>
      <c r="G37" s="4">
        <f>C37-B37</f>
        <v>724</v>
      </c>
      <c r="H37" t="str">
        <f>IF(F37&lt;3,"Poor",IF(F37&lt;4.5,"Average","Excellent"))</f>
        <v>Excellent</v>
      </c>
      <c r="I37" t="str">
        <f>IF(D37&lt;20%,"Low Discount",IF(D37&lt;41%,"Medium Discount","High Discount"))</f>
        <v>Medium Discount</v>
      </c>
    </row>
    <row r="38" spans="1:9" x14ac:dyDescent="0.25">
      <c r="A38" t="s">
        <v>34</v>
      </c>
      <c r="B38" s="4">
        <v>1980</v>
      </c>
      <c r="C38" s="4">
        <v>2699</v>
      </c>
      <c r="D38" s="8">
        <v>0.27</v>
      </c>
      <c r="E38" s="13">
        <v>32</v>
      </c>
      <c r="F38">
        <v>4.5</v>
      </c>
      <c r="G38" s="4">
        <f>C38-B38</f>
        <v>719</v>
      </c>
      <c r="H38" t="str">
        <f>IF(F38&lt;3,"Poor",IF(F38&lt;4.5,"Average","Excellent"))</f>
        <v>Excellent</v>
      </c>
      <c r="I38" t="str">
        <f>IF(D38&lt;20%,"Low Discount",IF(D38&lt;41%,"Medium Discount","High Discount"))</f>
        <v>Medium Discount</v>
      </c>
    </row>
    <row r="39" spans="1:9" x14ac:dyDescent="0.25">
      <c r="A39" t="s">
        <v>6</v>
      </c>
      <c r="B39" s="4">
        <v>2319</v>
      </c>
      <c r="C39" s="4">
        <v>3032</v>
      </c>
      <c r="D39" s="8">
        <v>0.24</v>
      </c>
      <c r="E39" s="13">
        <v>55</v>
      </c>
      <c r="F39">
        <v>4.5999999999999996</v>
      </c>
      <c r="G39" s="4">
        <f>C39-B39</f>
        <v>713</v>
      </c>
      <c r="H39" t="str">
        <f>IF(F39&lt;3,"Poor",IF(F39&lt;4.5,"Average","Excellent"))</f>
        <v>Excellent</v>
      </c>
      <c r="I39" t="str">
        <f>IF(D39&lt;20%,"Low Discount",IF(D39&lt;41%,"Medium Discount","High Discount"))</f>
        <v>Medium Discount</v>
      </c>
    </row>
    <row r="40" spans="1:9" x14ac:dyDescent="0.25">
      <c r="A40" t="s">
        <v>33</v>
      </c>
      <c r="B40" s="4">
        <v>1940</v>
      </c>
      <c r="C40" s="4">
        <v>2650</v>
      </c>
      <c r="D40" s="8">
        <v>0.27</v>
      </c>
      <c r="E40" s="13">
        <v>20</v>
      </c>
      <c r="F40">
        <v>4.7</v>
      </c>
      <c r="G40" s="4">
        <f>C40-B40</f>
        <v>710</v>
      </c>
      <c r="H40" t="str">
        <f>IF(F40&lt;3,"Poor",IF(F40&lt;4.5,"Average","Excellent"))</f>
        <v>Excellent</v>
      </c>
      <c r="I40" t="str">
        <f>IF(D40&lt;20%,"Low Discount",IF(D40&lt;41%,"Medium Discount","High Discount"))</f>
        <v>Medium Discount</v>
      </c>
    </row>
    <row r="41" spans="1:9" x14ac:dyDescent="0.25">
      <c r="A41" t="s">
        <v>18</v>
      </c>
      <c r="B41" s="4">
        <v>2999</v>
      </c>
      <c r="C41" s="4">
        <v>3699</v>
      </c>
      <c r="D41" s="8">
        <v>0.19</v>
      </c>
      <c r="E41" s="13">
        <v>5</v>
      </c>
      <c r="F41">
        <v>4.5999999999999996</v>
      </c>
      <c r="G41" s="4">
        <f>C41-B41</f>
        <v>700</v>
      </c>
      <c r="H41" t="str">
        <f>IF(F41&lt;3,"Poor",IF(F41&lt;4.5,"Average","Excellent"))</f>
        <v>Excellent</v>
      </c>
      <c r="I41" t="str">
        <f>IF(D41&lt;20%,"Low Discount",IF(D41&lt;41%,"Medium Discount","High Discount"))</f>
        <v>Low Discount</v>
      </c>
    </row>
    <row r="42" spans="1:9" x14ac:dyDescent="0.25">
      <c r="A42" t="s">
        <v>73</v>
      </c>
      <c r="B42" s="4">
        <v>790</v>
      </c>
      <c r="C42" s="4">
        <v>1485</v>
      </c>
      <c r="D42" s="8">
        <v>0.47</v>
      </c>
      <c r="G42" s="4">
        <f>C42-B42</f>
        <v>695</v>
      </c>
      <c r="H42" t="str">
        <f>IF(F42&lt;3,"Poor",IF(F42&lt;4.5,"Average","Excellent"))</f>
        <v>Poor</v>
      </c>
      <c r="I42" t="str">
        <f>IF(D42&lt;20%,"Low Discount",IF(D42&lt;41%,"Medium Discount","High Discount"))</f>
        <v>High Discount</v>
      </c>
    </row>
    <row r="43" spans="1:9" x14ac:dyDescent="0.25">
      <c r="A43" t="s">
        <v>46</v>
      </c>
      <c r="B43" s="4">
        <v>671</v>
      </c>
      <c r="C43" s="4">
        <v>1316</v>
      </c>
      <c r="D43" s="8">
        <v>0.49</v>
      </c>
      <c r="G43" s="4">
        <f>C43-B43</f>
        <v>645</v>
      </c>
      <c r="H43" t="str">
        <f>IF(F43&lt;3,"Poor",IF(F43&lt;4.5,"Average","Excellent"))</f>
        <v>Poor</v>
      </c>
      <c r="I43" t="str">
        <f>IF(D43&lt;20%,"Low Discount",IF(D43&lt;41%,"Medium Discount","High Discount"))</f>
        <v>High Discount</v>
      </c>
    </row>
    <row r="44" spans="1:9" x14ac:dyDescent="0.25">
      <c r="A44" t="s">
        <v>55</v>
      </c>
      <c r="B44" s="4">
        <v>699</v>
      </c>
      <c r="C44" s="4">
        <v>1343</v>
      </c>
      <c r="D44" s="8">
        <v>0.48</v>
      </c>
      <c r="G44" s="4">
        <f>C44-B44</f>
        <v>644</v>
      </c>
      <c r="H44" t="str">
        <f>IF(F44&lt;3,"Poor",IF(F44&lt;4.5,"Average","Excellent"))</f>
        <v>Poor</v>
      </c>
      <c r="I44" t="str">
        <f>IF(D44&lt;20%,"Low Discount",IF(D44&lt;41%,"Medium Discount","High Discount"))</f>
        <v>High Discount</v>
      </c>
    </row>
    <row r="45" spans="1:9" x14ac:dyDescent="0.25">
      <c r="A45" t="s">
        <v>26</v>
      </c>
      <c r="B45" s="4">
        <v>2880</v>
      </c>
      <c r="C45" s="4">
        <v>3520</v>
      </c>
      <c r="D45" s="8">
        <v>0.18</v>
      </c>
      <c r="E45" s="13">
        <v>12</v>
      </c>
      <c r="F45">
        <v>3.8</v>
      </c>
      <c r="G45" s="4">
        <f>C45-B45</f>
        <v>640</v>
      </c>
      <c r="H45" t="str">
        <f>IF(F45&lt;3,"Poor",IF(F45&lt;4.5,"Average","Excellent"))</f>
        <v>Average</v>
      </c>
      <c r="I45" t="str">
        <f>IF(D45&lt;20%,"Low Discount",IF(D45&lt;41%,"Medium Discount","High Discount"))</f>
        <v>Low Discount</v>
      </c>
    </row>
    <row r="46" spans="1:9" x14ac:dyDescent="0.25">
      <c r="A46" t="s">
        <v>27</v>
      </c>
      <c r="B46" s="4">
        <v>1350</v>
      </c>
      <c r="C46" s="4">
        <v>1990</v>
      </c>
      <c r="D46" s="8">
        <v>0.32</v>
      </c>
      <c r="E46" s="13">
        <v>13</v>
      </c>
      <c r="F46">
        <v>3.8</v>
      </c>
      <c r="G46" s="4">
        <f>C46-B46</f>
        <v>640</v>
      </c>
      <c r="H46" t="str">
        <f>IF(F46&lt;3,"Poor",IF(F46&lt;4.5,"Average","Excellent"))</f>
        <v>Average</v>
      </c>
      <c r="I46" t="str">
        <f>IF(D46&lt;20%,"Low Discount",IF(D46&lt;41%,"Medium Discount","High Discount"))</f>
        <v>Medium Discount</v>
      </c>
    </row>
    <row r="47" spans="1:9" x14ac:dyDescent="0.25">
      <c r="A47" t="s">
        <v>56</v>
      </c>
      <c r="B47" s="4">
        <v>657</v>
      </c>
      <c r="C47" s="4">
        <v>1288</v>
      </c>
      <c r="D47" s="8">
        <v>0.49</v>
      </c>
      <c r="G47" s="4">
        <f>C47-B47</f>
        <v>631</v>
      </c>
      <c r="H47" t="str">
        <f>IF(F47&lt;3,"Poor",IF(F47&lt;4.5,"Average","Excellent"))</f>
        <v>Poor</v>
      </c>
      <c r="I47" t="str">
        <f>IF(D47&lt;20%,"Low Discount",IF(D47&lt;41%,"Medium Discount","High Discount"))</f>
        <v>High Discount</v>
      </c>
    </row>
    <row r="48" spans="1:9" x14ac:dyDescent="0.25">
      <c r="A48" t="s">
        <v>103</v>
      </c>
      <c r="B48" s="4">
        <v>1190</v>
      </c>
      <c r="C48" s="4">
        <v>1810</v>
      </c>
      <c r="D48" s="8">
        <v>0.34</v>
      </c>
      <c r="G48" s="4">
        <f>C48-B48</f>
        <v>620</v>
      </c>
      <c r="H48" t="str">
        <f>IF(F48&lt;3,"Poor",IF(F48&lt;4.5,"Average","Excellent"))</f>
        <v>Poor</v>
      </c>
      <c r="I48" t="str">
        <f>IF(D48&lt;20%,"Low Discount",IF(D48&lt;41%,"Medium Discount","High Discount"))</f>
        <v>Medium Discount</v>
      </c>
    </row>
    <row r="49" spans="1:9" x14ac:dyDescent="0.25">
      <c r="A49" t="s">
        <v>4</v>
      </c>
      <c r="B49" s="4">
        <v>1740</v>
      </c>
      <c r="C49" s="4">
        <v>2356</v>
      </c>
      <c r="D49" s="8">
        <v>0.26</v>
      </c>
      <c r="E49" s="13">
        <v>5</v>
      </c>
      <c r="F49">
        <v>4.8</v>
      </c>
      <c r="G49" s="4">
        <f>C49-B49</f>
        <v>616</v>
      </c>
      <c r="H49" t="str">
        <f>IF(F49&lt;3,"Poor",IF(F49&lt;4.5,"Average","Excellent"))</f>
        <v>Excellent</v>
      </c>
      <c r="I49" t="str">
        <f>IF(D49&lt;20%,"Low Discount",IF(D49&lt;41%,"Medium Discount","High Discount"))</f>
        <v>Medium Discount</v>
      </c>
    </row>
    <row r="50" spans="1:9" x14ac:dyDescent="0.25">
      <c r="A50" t="s">
        <v>45</v>
      </c>
      <c r="B50" s="4">
        <v>1190</v>
      </c>
      <c r="C50" s="4">
        <v>1785</v>
      </c>
      <c r="D50" s="8">
        <v>0.33</v>
      </c>
      <c r="G50" s="4">
        <f>C50-B50</f>
        <v>595</v>
      </c>
      <c r="H50" t="str">
        <f>IF(F50&lt;3,"Poor",IF(F50&lt;4.5,"Average","Excellent"))</f>
        <v>Poor</v>
      </c>
      <c r="I50" t="str">
        <f>IF(D50&lt;20%,"Low Discount",IF(D50&lt;41%,"Medium Discount","High Discount"))</f>
        <v>Medium Discount</v>
      </c>
    </row>
    <row r="51" spans="1:9" x14ac:dyDescent="0.25">
      <c r="A51" t="s">
        <v>7</v>
      </c>
      <c r="B51" s="4">
        <v>988</v>
      </c>
      <c r="C51" s="4">
        <v>1580</v>
      </c>
      <c r="D51" s="8">
        <v>0.37</v>
      </c>
      <c r="E51" s="13">
        <v>2</v>
      </c>
      <c r="F51">
        <v>4</v>
      </c>
      <c r="G51" s="4">
        <f>C51-B51</f>
        <v>592</v>
      </c>
      <c r="H51" t="str">
        <f>IF(F51&lt;3,"Poor",IF(F51&lt;4.5,"Average","Excellent"))</f>
        <v>Average</v>
      </c>
      <c r="I51" t="str">
        <f>IF(D51&lt;20%,"Low Discount",IF(D51&lt;41%,"Medium Discount","High Discount"))</f>
        <v>Medium Discount</v>
      </c>
    </row>
    <row r="52" spans="1:9" x14ac:dyDescent="0.25">
      <c r="A52" t="s">
        <v>102</v>
      </c>
      <c r="B52" s="4">
        <v>1150</v>
      </c>
      <c r="C52" s="4">
        <v>1737</v>
      </c>
      <c r="D52" s="8">
        <v>0.34</v>
      </c>
      <c r="G52" s="4">
        <f>C52-B52</f>
        <v>587</v>
      </c>
      <c r="H52" t="str">
        <f>IF(F52&lt;3,"Poor",IF(F52&lt;4.5,"Average","Excellent"))</f>
        <v>Poor</v>
      </c>
      <c r="I52" t="str">
        <f>IF(D52&lt;20%,"Low Discount",IF(D52&lt;41%,"Medium Discount","High Discount"))</f>
        <v>Medium Discount</v>
      </c>
    </row>
    <row r="53" spans="1:9" x14ac:dyDescent="0.25">
      <c r="A53" t="s">
        <v>38</v>
      </c>
      <c r="B53" s="4">
        <v>1620</v>
      </c>
      <c r="C53" s="4">
        <v>2200</v>
      </c>
      <c r="D53" s="8">
        <v>0.38</v>
      </c>
      <c r="E53" s="13">
        <v>2</v>
      </c>
      <c r="F53">
        <v>4.5</v>
      </c>
      <c r="G53" s="4">
        <f>C53-B53</f>
        <v>580</v>
      </c>
      <c r="H53" t="str">
        <f>IF(F53&lt;3,"Poor",IF(F53&lt;4.5,"Average","Excellent"))</f>
        <v>Excellent</v>
      </c>
      <c r="I53" t="str">
        <f>IF(D53&lt;20%,"Low Discount",IF(D53&lt;41%,"Medium Discount","High Discount"))</f>
        <v>Medium Discount</v>
      </c>
    </row>
    <row r="54" spans="1:9" x14ac:dyDescent="0.25">
      <c r="A54" t="s">
        <v>0</v>
      </c>
      <c r="B54" s="4">
        <v>950</v>
      </c>
      <c r="C54" s="4">
        <v>1525</v>
      </c>
      <c r="D54" s="8">
        <v>0.38</v>
      </c>
      <c r="E54" s="13">
        <v>2</v>
      </c>
      <c r="F54">
        <v>4.5</v>
      </c>
      <c r="G54" s="4">
        <f>C54-B54</f>
        <v>575</v>
      </c>
      <c r="H54" t="str">
        <f>IF(F54&lt;3,"Poor",IF(F54&lt;4.5,"Average","Excellent"))</f>
        <v>Excellent</v>
      </c>
      <c r="I54" t="str">
        <f>IF(D54&lt;20%,"Low Discount",IF(D54&lt;41%,"Medium Discount","High Discount"))</f>
        <v>Medium Discount</v>
      </c>
    </row>
    <row r="55" spans="1:9" x14ac:dyDescent="0.25">
      <c r="A55" t="s">
        <v>53</v>
      </c>
      <c r="B55" s="4">
        <v>799</v>
      </c>
      <c r="C55" s="4">
        <v>1343</v>
      </c>
      <c r="D55" s="8">
        <v>0.41</v>
      </c>
      <c r="G55" s="4">
        <f>C55-B55</f>
        <v>544</v>
      </c>
      <c r="H55" t="str">
        <f>IF(F55&lt;3,"Poor",IF(F55&lt;4.5,"Average","Excellent"))</f>
        <v>Poor</v>
      </c>
      <c r="I55" t="str">
        <f>IF(D55&lt;20%,"Low Discount",IF(D55&lt;41%,"Medium Discount","High Discount"))</f>
        <v>High Discount</v>
      </c>
    </row>
    <row r="56" spans="1:9" x14ac:dyDescent="0.25">
      <c r="A56" t="s">
        <v>59</v>
      </c>
      <c r="B56" s="4">
        <v>458</v>
      </c>
      <c r="C56" s="4">
        <v>986</v>
      </c>
      <c r="D56" s="8">
        <v>0.54</v>
      </c>
      <c r="E56" s="13">
        <v>10</v>
      </c>
      <c r="F56">
        <v>3</v>
      </c>
      <c r="G56" s="4">
        <f>C56-B56</f>
        <v>528</v>
      </c>
      <c r="H56" t="str">
        <f>IF(F56&lt;3,"Poor",IF(F56&lt;4.5,"Average","Excellent"))</f>
        <v>Average</v>
      </c>
      <c r="I56" t="str">
        <f>IF(D56&lt;20%,"Low Discount",IF(D56&lt;41%,"Medium Discount","High Discount"))</f>
        <v>High Discount</v>
      </c>
    </row>
    <row r="57" spans="1:9" x14ac:dyDescent="0.25">
      <c r="A57" t="s">
        <v>11</v>
      </c>
      <c r="B57" s="4">
        <v>990</v>
      </c>
      <c r="C57" s="4">
        <v>1500</v>
      </c>
      <c r="D57" s="8">
        <v>0.34</v>
      </c>
      <c r="E57" s="13">
        <v>39</v>
      </c>
      <c r="F57">
        <v>4.7</v>
      </c>
      <c r="G57" s="4">
        <f>C57-B57</f>
        <v>510</v>
      </c>
      <c r="H57" t="str">
        <f>IF(F57&lt;3,"Poor",IF(F57&lt;4.5,"Average","Excellent"))</f>
        <v>Excellent</v>
      </c>
      <c r="I57" t="str">
        <f>IF(D57&lt;20%,"Low Discount",IF(D57&lt;41%,"Medium Discount","High Discount"))</f>
        <v>Medium Discount</v>
      </c>
    </row>
    <row r="58" spans="1:9" x14ac:dyDescent="0.25">
      <c r="A58" t="s">
        <v>31</v>
      </c>
      <c r="B58" s="4">
        <v>980</v>
      </c>
      <c r="C58" s="4">
        <v>1490</v>
      </c>
      <c r="D58" s="8">
        <v>0.34</v>
      </c>
      <c r="E58" s="13">
        <v>12</v>
      </c>
      <c r="F58">
        <v>4.7</v>
      </c>
      <c r="G58" s="4">
        <f>C58-B58</f>
        <v>510</v>
      </c>
      <c r="H58" t="str">
        <f>IF(F58&lt;3,"Poor",IF(F58&lt;4.5,"Average","Excellent"))</f>
        <v>Excellent</v>
      </c>
      <c r="I58" t="str">
        <f>IF(D58&lt;20%,"Low Discount",IF(D58&lt;41%,"Medium Discount","High Discount"))</f>
        <v>Medium Discount</v>
      </c>
    </row>
    <row r="59" spans="1:9" x14ac:dyDescent="0.25">
      <c r="A59" t="s">
        <v>74</v>
      </c>
      <c r="B59" s="4">
        <v>690</v>
      </c>
      <c r="C59" s="4">
        <v>1200</v>
      </c>
      <c r="D59" s="8">
        <v>0.43</v>
      </c>
      <c r="G59" s="4">
        <f>C59-B59</f>
        <v>510</v>
      </c>
      <c r="H59" t="str">
        <f>IF(F59&lt;3,"Poor",IF(F59&lt;4.5,"Average","Excellent"))</f>
        <v>Poor</v>
      </c>
      <c r="I59" t="str">
        <f>IF(D59&lt;20%,"Low Discount",IF(D59&lt;41%,"Medium Discount","High Discount"))</f>
        <v>High Discount</v>
      </c>
    </row>
    <row r="60" spans="1:9" x14ac:dyDescent="0.25">
      <c r="A60" t="s">
        <v>96</v>
      </c>
      <c r="B60" s="4">
        <v>525</v>
      </c>
      <c r="C60" s="4">
        <v>1029</v>
      </c>
      <c r="D60" s="8">
        <v>0.49</v>
      </c>
      <c r="G60" s="4">
        <f>C60-B60</f>
        <v>504</v>
      </c>
      <c r="H60" t="str">
        <f>IF(F60&lt;3,"Poor",IF(F60&lt;4.5,"Average","Excellent"))</f>
        <v>Poor</v>
      </c>
      <c r="I60" t="str">
        <f>IF(D60&lt;20%,"Low Discount",IF(D60&lt;41%,"Medium Discount","High Discount"))</f>
        <v>High Discount</v>
      </c>
    </row>
    <row r="61" spans="1:9" x14ac:dyDescent="0.25">
      <c r="A61" t="s">
        <v>23</v>
      </c>
      <c r="B61" s="4">
        <v>1650</v>
      </c>
      <c r="C61" s="4">
        <v>2150</v>
      </c>
      <c r="D61" s="8">
        <v>0.23</v>
      </c>
      <c r="E61" s="13">
        <v>14</v>
      </c>
      <c r="F61">
        <v>4.4000000000000004</v>
      </c>
      <c r="G61" s="4">
        <f>C61-B61</f>
        <v>500</v>
      </c>
      <c r="H61" t="str">
        <f>IF(F61&lt;3,"Poor",IF(F61&lt;4.5,"Average","Excellent"))</f>
        <v>Average</v>
      </c>
      <c r="I61" t="str">
        <f>IF(D61&lt;20%,"Low Discount",IF(D61&lt;41%,"Medium Discount","High Discount"))</f>
        <v>Medium Discount</v>
      </c>
    </row>
    <row r="62" spans="1:9" x14ac:dyDescent="0.25">
      <c r="A62" t="s">
        <v>54</v>
      </c>
      <c r="B62" s="4">
        <v>399</v>
      </c>
      <c r="C62" s="4">
        <v>896</v>
      </c>
      <c r="D62" s="8">
        <v>0.55000000000000004</v>
      </c>
      <c r="G62" s="4">
        <f>C62-B62</f>
        <v>497</v>
      </c>
      <c r="H62" t="str">
        <f>IF(F62&lt;3,"Poor",IF(F62&lt;4.5,"Average","Excellent"))</f>
        <v>Poor</v>
      </c>
      <c r="I62" t="str">
        <f>IF(D62&lt;20%,"Low Discount",IF(D62&lt;41%,"Medium Discount","High Discount"))</f>
        <v>High Discount</v>
      </c>
    </row>
    <row r="63" spans="1:9" x14ac:dyDescent="0.25">
      <c r="A63" t="s">
        <v>12</v>
      </c>
      <c r="B63" s="4">
        <v>552</v>
      </c>
      <c r="C63" s="4">
        <v>1035</v>
      </c>
      <c r="D63" s="8">
        <v>0.47</v>
      </c>
      <c r="E63" s="13">
        <v>12</v>
      </c>
      <c r="F63">
        <v>4.8</v>
      </c>
      <c r="G63" s="4">
        <f>C63-B63</f>
        <v>483</v>
      </c>
      <c r="H63" t="str">
        <f>IF(F63&lt;3,"Poor",IF(F63&lt;4.5,"Average","Excellent"))</f>
        <v>Excellent</v>
      </c>
      <c r="I63" t="str">
        <f>IF(D63&lt;20%,"Low Discount",IF(D63&lt;41%,"Medium Discount","High Discount"))</f>
        <v>High Discount</v>
      </c>
    </row>
    <row r="64" spans="1:9" x14ac:dyDescent="0.25">
      <c r="A64" t="s">
        <v>1</v>
      </c>
      <c r="B64" s="4">
        <v>527</v>
      </c>
      <c r="C64" s="4">
        <v>999</v>
      </c>
      <c r="D64" s="8">
        <v>0.47</v>
      </c>
      <c r="E64" s="13">
        <v>14</v>
      </c>
      <c r="F64">
        <v>4.0999999999999996</v>
      </c>
      <c r="G64" s="4">
        <f>C64-B64</f>
        <v>472</v>
      </c>
      <c r="H64" t="str">
        <f>IF(F64&lt;3,"Poor",IF(F64&lt;4.5,"Average","Excellent"))</f>
        <v>Average</v>
      </c>
      <c r="I64" t="str">
        <f>IF(D64&lt;20%,"Low Discount",IF(D64&lt;41%,"Medium Discount","High Discount"))</f>
        <v>High Discount</v>
      </c>
    </row>
    <row r="65" spans="1:9" x14ac:dyDescent="0.25">
      <c r="A65" t="s">
        <v>22</v>
      </c>
      <c r="B65" s="4">
        <v>880</v>
      </c>
      <c r="C65" s="4">
        <v>1350</v>
      </c>
      <c r="D65" s="8">
        <v>0.35</v>
      </c>
      <c r="E65" s="13">
        <v>6</v>
      </c>
      <c r="F65">
        <v>4</v>
      </c>
      <c r="G65" s="4">
        <f>C65-B65</f>
        <v>470</v>
      </c>
      <c r="H65" t="str">
        <f>IF(F65&lt;3,"Poor",IF(F65&lt;4.5,"Average","Excellent"))</f>
        <v>Average</v>
      </c>
      <c r="I65" t="str">
        <f>IF(D65&lt;20%,"Low Discount",IF(D65&lt;41%,"Medium Discount","High Discount"))</f>
        <v>Medium Discount</v>
      </c>
    </row>
    <row r="66" spans="1:9" x14ac:dyDescent="0.25">
      <c r="A66" t="s">
        <v>86</v>
      </c>
      <c r="B66" s="4">
        <v>630</v>
      </c>
      <c r="C66" s="4">
        <v>1100</v>
      </c>
      <c r="D66" s="8">
        <v>0.43</v>
      </c>
      <c r="G66" s="4">
        <f>C66-B66</f>
        <v>470</v>
      </c>
      <c r="H66" t="str">
        <f>IF(F66&lt;3,"Poor",IF(F66&lt;4.5,"Average","Excellent"))</f>
        <v>Poor</v>
      </c>
      <c r="I66" t="str">
        <f>IF(D66&lt;20%,"Low Discount",IF(D66&lt;41%,"Medium Discount","High Discount"))</f>
        <v>High Discount</v>
      </c>
    </row>
    <row r="67" spans="1:9" x14ac:dyDescent="0.25">
      <c r="A67" t="s">
        <v>40</v>
      </c>
      <c r="B67" s="4">
        <v>475</v>
      </c>
      <c r="C67" s="4">
        <v>931</v>
      </c>
      <c r="D67" s="8">
        <v>0.49</v>
      </c>
      <c r="G67" s="4">
        <f>C67-B67</f>
        <v>456</v>
      </c>
      <c r="H67" t="str">
        <f>IF(F67&lt;3,"Poor",IF(F67&lt;4.5,"Average","Excellent"))</f>
        <v>Poor</v>
      </c>
      <c r="I67" t="str">
        <f>IF(D67&lt;20%,"Low Discount",IF(D67&lt;41%,"Medium Discount","High Discount"))</f>
        <v>High Discount</v>
      </c>
    </row>
    <row r="68" spans="1:9" x14ac:dyDescent="0.25">
      <c r="A68" t="s">
        <v>42</v>
      </c>
      <c r="B68" s="4">
        <v>610</v>
      </c>
      <c r="C68" s="4">
        <v>1060</v>
      </c>
      <c r="D68" s="8">
        <v>0.42</v>
      </c>
      <c r="G68" s="4">
        <f>C68-B68</f>
        <v>450</v>
      </c>
      <c r="H68" t="str">
        <f>IF(F68&lt;3,"Poor",IF(F68&lt;4.5,"Average","Excellent"))</f>
        <v>Poor</v>
      </c>
      <c r="I68" t="str">
        <f>IF(D68&lt;20%,"Low Discount",IF(D68&lt;41%,"Medium Discount","High Discount"))</f>
        <v>High Discount</v>
      </c>
    </row>
    <row r="69" spans="1:9" x14ac:dyDescent="0.25">
      <c r="A69" t="s">
        <v>42</v>
      </c>
      <c r="B69" s="4">
        <v>610</v>
      </c>
      <c r="C69" s="4">
        <v>1060</v>
      </c>
      <c r="D69" s="8">
        <v>0.42</v>
      </c>
      <c r="G69" s="4">
        <f>C69-B69</f>
        <v>450</v>
      </c>
      <c r="H69" t="str">
        <f>IF(F69&lt;3,"Poor",IF(F69&lt;4.5,"Average","Excellent"))</f>
        <v>Poor</v>
      </c>
      <c r="I69" t="str">
        <f>IF(D69&lt;20%,"Low Discount",IF(D69&lt;41%,"Medium Discount","High Discount"))</f>
        <v>High Discount</v>
      </c>
    </row>
    <row r="70" spans="1:9" x14ac:dyDescent="0.25">
      <c r="A70" t="s">
        <v>42</v>
      </c>
      <c r="B70" s="4">
        <v>610</v>
      </c>
      <c r="C70" s="4">
        <v>1060</v>
      </c>
      <c r="D70" s="8">
        <v>0.42</v>
      </c>
      <c r="G70" s="4">
        <f>C70-B70</f>
        <v>450</v>
      </c>
      <c r="H70" t="str">
        <f>IF(F70&lt;3,"Poor",IF(F70&lt;4.5,"Average","Excellent"))</f>
        <v>Poor</v>
      </c>
      <c r="I70" t="str">
        <f>IF(D70&lt;20%,"Low Discount",IF(D70&lt;41%,"Medium Discount","High Discount"))</f>
        <v>High Discount</v>
      </c>
    </row>
    <row r="71" spans="1:9" x14ac:dyDescent="0.25">
      <c r="A71" t="s">
        <v>107</v>
      </c>
      <c r="B71" s="4">
        <v>450</v>
      </c>
      <c r="C71" s="4">
        <v>900</v>
      </c>
      <c r="D71" s="8">
        <v>0.5</v>
      </c>
      <c r="E71" s="13">
        <v>1</v>
      </c>
      <c r="F71">
        <v>2</v>
      </c>
      <c r="G71" s="4">
        <f>C71-B71</f>
        <v>450</v>
      </c>
      <c r="H71" t="str">
        <f>IF(F71&lt;3,"Poor",IF(F71&lt;4.5,"Average","Excellent"))</f>
        <v>Poor</v>
      </c>
      <c r="I71" t="str">
        <f>IF(D71&lt;20%,"Low Discount",IF(D71&lt;41%,"Medium Discount","High Discount"))</f>
        <v>High Discount</v>
      </c>
    </row>
    <row r="72" spans="1:9" x14ac:dyDescent="0.25">
      <c r="A72" t="s">
        <v>61</v>
      </c>
      <c r="B72" s="4">
        <v>445</v>
      </c>
      <c r="C72" s="4">
        <v>873</v>
      </c>
      <c r="D72" s="8">
        <v>0.49</v>
      </c>
      <c r="E72" s="13">
        <v>69</v>
      </c>
      <c r="F72">
        <v>2.8</v>
      </c>
      <c r="G72" s="4">
        <f>C72-B72</f>
        <v>428</v>
      </c>
      <c r="H72" t="str">
        <f>IF(F72&lt;3,"Poor",IF(F72&lt;4.5,"Average","Excellent"))</f>
        <v>Poor</v>
      </c>
      <c r="I72" t="str">
        <f>IF(D72&lt;20%,"Low Discount",IF(D72&lt;41%,"Medium Discount","High Discount"))</f>
        <v>High Discount</v>
      </c>
    </row>
    <row r="73" spans="1:9" x14ac:dyDescent="0.25">
      <c r="A73" t="s">
        <v>54</v>
      </c>
      <c r="B73" s="4">
        <v>499</v>
      </c>
      <c r="C73" s="4">
        <v>900</v>
      </c>
      <c r="D73" s="8">
        <v>0.45</v>
      </c>
      <c r="G73" s="4">
        <f>C73-B73</f>
        <v>401</v>
      </c>
      <c r="H73" t="str">
        <f>IF(F73&lt;3,"Poor",IF(F73&lt;4.5,"Average","Excellent"))</f>
        <v>Poor</v>
      </c>
      <c r="I73" t="str">
        <f>IF(D73&lt;20%,"Low Discount",IF(D73&lt;41%,"Medium Discount","High Discount"))</f>
        <v>High Discount</v>
      </c>
    </row>
    <row r="74" spans="1:9" x14ac:dyDescent="0.25">
      <c r="A74" t="s">
        <v>70</v>
      </c>
      <c r="B74" s="4">
        <v>509</v>
      </c>
      <c r="C74" s="4">
        <v>899</v>
      </c>
      <c r="D74" s="8">
        <v>0.43</v>
      </c>
      <c r="E74" s="13">
        <v>5</v>
      </c>
      <c r="F74">
        <v>3</v>
      </c>
      <c r="G74" s="4">
        <f>C74-B74</f>
        <v>390</v>
      </c>
      <c r="H74" t="str">
        <f>IF(F74&lt;3,"Poor",IF(F74&lt;4.5,"Average","Excellent"))</f>
        <v>Average</v>
      </c>
      <c r="I74" t="str">
        <f>IF(D74&lt;20%,"Low Discount",IF(D74&lt;41%,"Medium Discount","High Discount"))</f>
        <v>High Discount</v>
      </c>
    </row>
    <row r="75" spans="1:9" x14ac:dyDescent="0.25">
      <c r="A75" t="s">
        <v>13</v>
      </c>
      <c r="B75" s="4">
        <v>501</v>
      </c>
      <c r="C75" s="4">
        <v>860</v>
      </c>
      <c r="D75" s="8">
        <v>0.42</v>
      </c>
      <c r="E75" s="13">
        <v>6</v>
      </c>
      <c r="F75">
        <v>4.5</v>
      </c>
      <c r="G75" s="4">
        <f>C75-B75</f>
        <v>359</v>
      </c>
      <c r="H75" t="str">
        <f>IF(F75&lt;3,"Poor",IF(F75&lt;4.5,"Average","Excellent"))</f>
        <v>Excellent</v>
      </c>
      <c r="I75" t="str">
        <f>IF(D75&lt;20%,"Low Discount",IF(D75&lt;41%,"Medium Discount","High Discount"))</f>
        <v>High Discount</v>
      </c>
    </row>
    <row r="76" spans="1:9" x14ac:dyDescent="0.25">
      <c r="A76" t="s">
        <v>62</v>
      </c>
      <c r="B76" s="4">
        <v>325</v>
      </c>
      <c r="C76" s="4">
        <v>680</v>
      </c>
      <c r="D76" s="8">
        <v>0.52</v>
      </c>
      <c r="E76" s="13">
        <v>15</v>
      </c>
      <c r="F76">
        <v>2.7</v>
      </c>
      <c r="G76" s="4">
        <f>C76-B76</f>
        <v>355</v>
      </c>
      <c r="H76" t="str">
        <f>IF(F76&lt;3,"Poor",IF(F76&lt;4.5,"Average","Excellent"))</f>
        <v>Poor</v>
      </c>
      <c r="I76" t="str">
        <f>IF(D76&lt;20%,"Low Discount",IF(D76&lt;41%,"Medium Discount","High Discount"))</f>
        <v>High Discount</v>
      </c>
    </row>
    <row r="77" spans="1:9" x14ac:dyDescent="0.25">
      <c r="A77" t="s">
        <v>106</v>
      </c>
      <c r="B77" s="4">
        <v>199</v>
      </c>
      <c r="C77" s="4">
        <v>553</v>
      </c>
      <c r="D77" s="8">
        <v>0.64</v>
      </c>
      <c r="G77" s="4">
        <f>C77-B77</f>
        <v>354</v>
      </c>
      <c r="H77" t="str">
        <f>IF(F77&lt;3,"Poor",IF(F77&lt;4.5,"Average","Excellent"))</f>
        <v>Poor</v>
      </c>
      <c r="I77" t="str">
        <f>IF(D77&lt;20%,"Low Discount",IF(D77&lt;41%,"Medium Discount","High Discount"))</f>
        <v>High Discount</v>
      </c>
    </row>
    <row r="78" spans="1:9" x14ac:dyDescent="0.25">
      <c r="A78" t="s">
        <v>15</v>
      </c>
      <c r="B78" s="4">
        <v>332</v>
      </c>
      <c r="C78" s="4">
        <v>684</v>
      </c>
      <c r="D78" s="8">
        <v>0.51</v>
      </c>
      <c r="E78" s="13">
        <v>2</v>
      </c>
      <c r="F78">
        <v>5</v>
      </c>
      <c r="G78" s="4">
        <f>C78-B78</f>
        <v>352</v>
      </c>
      <c r="H78" t="str">
        <f>IF(F78&lt;3,"Poor",IF(F78&lt;4.5,"Average","Excellent"))</f>
        <v>Excellent</v>
      </c>
      <c r="I78" t="str">
        <f>IF(D78&lt;20%,"Low Discount",IF(D78&lt;41%,"Medium Discount","High Discount"))</f>
        <v>High Discount</v>
      </c>
    </row>
    <row r="79" spans="1:9" x14ac:dyDescent="0.25">
      <c r="A79" t="s">
        <v>63</v>
      </c>
      <c r="B79" s="4">
        <v>1220</v>
      </c>
      <c r="C79" s="4">
        <v>1555</v>
      </c>
      <c r="D79" s="8">
        <v>0.22</v>
      </c>
      <c r="E79" s="13">
        <v>16</v>
      </c>
      <c r="F79">
        <v>2.9</v>
      </c>
      <c r="G79" s="4">
        <f>C79-B79</f>
        <v>335</v>
      </c>
      <c r="H79" t="str">
        <f>IF(F79&lt;3,"Poor",IF(F79&lt;4.5,"Average","Excellent"))</f>
        <v>Poor</v>
      </c>
      <c r="I79" t="str">
        <f>IF(D79&lt;20%,"Low Discount",IF(D79&lt;41%,"Medium Discount","High Discount"))</f>
        <v>Medium Discount</v>
      </c>
    </row>
    <row r="80" spans="1:9" x14ac:dyDescent="0.25">
      <c r="A80" t="s">
        <v>58</v>
      </c>
      <c r="B80" s="4">
        <v>2170</v>
      </c>
      <c r="C80" s="4">
        <v>2500</v>
      </c>
      <c r="D80" s="8">
        <v>0.13</v>
      </c>
      <c r="E80" s="13">
        <v>6</v>
      </c>
      <c r="F80">
        <v>2.5</v>
      </c>
      <c r="G80" s="4">
        <f>C80-B80</f>
        <v>330</v>
      </c>
      <c r="H80" t="str">
        <f>IF(F80&lt;3,"Poor",IF(F80&lt;4.5,"Average","Excellent"))</f>
        <v>Poor</v>
      </c>
      <c r="I80" t="str">
        <f>IF(D80&lt;20%,"Low Discount",IF(D80&lt;41%,"Medium Discount","High Discount"))</f>
        <v>Low Discount</v>
      </c>
    </row>
    <row r="81" spans="1:9" x14ac:dyDescent="0.25">
      <c r="A81" t="s">
        <v>67</v>
      </c>
      <c r="B81" s="4">
        <v>382</v>
      </c>
      <c r="C81" s="4">
        <v>700</v>
      </c>
      <c r="D81" s="8">
        <v>0.45</v>
      </c>
      <c r="E81" s="13">
        <v>17</v>
      </c>
      <c r="F81">
        <v>2.6</v>
      </c>
      <c r="G81" s="4">
        <f>C81-B81</f>
        <v>318</v>
      </c>
      <c r="H81" t="str">
        <f>IF(F81&lt;3,"Poor",IF(F81&lt;4.5,"Average","Excellent"))</f>
        <v>Poor</v>
      </c>
      <c r="I81" t="str">
        <f>IF(D81&lt;20%,"Low Discount",IF(D81&lt;41%,"Medium Discount","High Discount"))</f>
        <v>High Discount</v>
      </c>
    </row>
    <row r="82" spans="1:9" x14ac:dyDescent="0.25">
      <c r="A82" t="s">
        <v>81</v>
      </c>
      <c r="B82" s="4">
        <v>330</v>
      </c>
      <c r="C82" s="4">
        <v>647</v>
      </c>
      <c r="D82" s="8">
        <v>0.49</v>
      </c>
      <c r="E82" s="13">
        <v>1</v>
      </c>
      <c r="F82">
        <v>4</v>
      </c>
      <c r="G82" s="4">
        <f>C82-B82</f>
        <v>317</v>
      </c>
      <c r="H82" t="str">
        <f>IF(F82&lt;3,"Poor",IF(F82&lt;4.5,"Average","Excellent"))</f>
        <v>Average</v>
      </c>
      <c r="I82" t="str">
        <f>IF(D82&lt;20%,"Low Discount",IF(D82&lt;41%,"Medium Discount","High Discount"))</f>
        <v>High Discount</v>
      </c>
    </row>
    <row r="83" spans="1:9" x14ac:dyDescent="0.25">
      <c r="A83" t="s">
        <v>48</v>
      </c>
      <c r="B83" s="4">
        <v>199</v>
      </c>
      <c r="C83" s="4">
        <v>504</v>
      </c>
      <c r="D83" s="8">
        <v>0.61</v>
      </c>
      <c r="G83" s="4">
        <f>C83-B83</f>
        <v>305</v>
      </c>
      <c r="H83" t="str">
        <f>IF(F83&lt;3,"Poor",IF(F83&lt;4.5,"Average","Excellent"))</f>
        <v>Poor</v>
      </c>
      <c r="I83" t="str">
        <f>IF(D83&lt;20%,"Low Discount",IF(D83&lt;41%,"Medium Discount","High Discount"))</f>
        <v>High Discount</v>
      </c>
    </row>
    <row r="84" spans="1:9" x14ac:dyDescent="0.25">
      <c r="A84" t="s">
        <v>49</v>
      </c>
      <c r="B84" s="4">
        <v>299</v>
      </c>
      <c r="C84" s="4">
        <v>600</v>
      </c>
      <c r="D84" s="8">
        <v>0.5</v>
      </c>
      <c r="G84" s="4">
        <f>C84-B84</f>
        <v>301</v>
      </c>
      <c r="H84" t="str">
        <f>IF(F84&lt;3,"Poor",IF(F84&lt;4.5,"Average","Excellent"))</f>
        <v>Poor</v>
      </c>
      <c r="I84" t="str">
        <f>IF(D84&lt;20%,"Low Discount",IF(D84&lt;41%,"Medium Discount","High Discount"))</f>
        <v>High Discount</v>
      </c>
    </row>
    <row r="85" spans="1:9" x14ac:dyDescent="0.25">
      <c r="A85" t="s">
        <v>5</v>
      </c>
      <c r="B85" s="4">
        <v>2999</v>
      </c>
      <c r="C85" s="4">
        <v>3290</v>
      </c>
      <c r="D85" s="8">
        <v>0.09</v>
      </c>
      <c r="E85" s="13">
        <v>15</v>
      </c>
      <c r="F85">
        <v>4</v>
      </c>
      <c r="G85" s="4">
        <f>C85-B85</f>
        <v>291</v>
      </c>
      <c r="H85" t="str">
        <f>IF(F85&lt;3,"Poor",IF(F85&lt;4.5,"Average","Excellent"))</f>
        <v>Average</v>
      </c>
      <c r="I85" t="str">
        <f>IF(D85&lt;20%,"Low Discount",IF(D85&lt;41%,"Medium Discount","High Discount"))</f>
        <v>Low Discount</v>
      </c>
    </row>
    <row r="86" spans="1:9" x14ac:dyDescent="0.25">
      <c r="A86" t="s">
        <v>37</v>
      </c>
      <c r="B86" s="4">
        <v>389</v>
      </c>
      <c r="C86" s="4">
        <v>656</v>
      </c>
      <c r="D86" s="8">
        <v>0.41</v>
      </c>
      <c r="E86" s="13">
        <v>36</v>
      </c>
      <c r="F86">
        <v>4.3</v>
      </c>
      <c r="G86" s="4">
        <f>C86-B86</f>
        <v>267</v>
      </c>
      <c r="H86" t="str">
        <f>IF(F86&lt;3,"Poor",IF(F86&lt;4.5,"Average","Excellent"))</f>
        <v>Average</v>
      </c>
      <c r="I86" t="str">
        <f>IF(D86&lt;20%,"Low Discount",IF(D86&lt;41%,"Medium Discount","High Discount"))</f>
        <v>High Discount</v>
      </c>
    </row>
    <row r="87" spans="1:9" x14ac:dyDescent="0.25">
      <c r="A87" t="s">
        <v>83</v>
      </c>
      <c r="B87" s="4">
        <v>274</v>
      </c>
      <c r="C87" s="4">
        <v>537</v>
      </c>
      <c r="D87" s="8">
        <v>0.49</v>
      </c>
      <c r="G87" s="4">
        <f>C87-B87</f>
        <v>263</v>
      </c>
      <c r="H87" t="str">
        <f>IF(F87&lt;3,"Poor",IF(F87&lt;4.5,"Average","Excellent"))</f>
        <v>Poor</v>
      </c>
      <c r="I87" t="str">
        <f>IF(D87&lt;20%,"Low Discount",IF(D87&lt;41%,"Medium Discount","High Discount"))</f>
        <v>High Discount</v>
      </c>
    </row>
    <row r="88" spans="1:9" x14ac:dyDescent="0.25">
      <c r="A88" t="s">
        <v>69</v>
      </c>
      <c r="B88" s="4">
        <v>345</v>
      </c>
      <c r="C88" s="4">
        <v>602</v>
      </c>
      <c r="D88" s="8">
        <v>0.43</v>
      </c>
      <c r="E88" s="13">
        <v>6</v>
      </c>
      <c r="F88">
        <v>2.2999999999999998</v>
      </c>
      <c r="G88" s="4">
        <f>C88-B88</f>
        <v>257</v>
      </c>
      <c r="H88" t="str">
        <f>IF(F88&lt;3,"Poor",IF(F88&lt;4.5,"Average","Excellent"))</f>
        <v>Poor</v>
      </c>
      <c r="I88" t="str">
        <f>IF(D88&lt;20%,"Low Discount",IF(D88&lt;41%,"Medium Discount","High Discount"))</f>
        <v>High Discount</v>
      </c>
    </row>
    <row r="89" spans="1:9" x14ac:dyDescent="0.25">
      <c r="A89" t="s">
        <v>41</v>
      </c>
      <c r="B89" s="4">
        <v>238</v>
      </c>
      <c r="C89" s="4">
        <v>476</v>
      </c>
      <c r="D89" s="8">
        <v>0.5</v>
      </c>
      <c r="G89" s="4">
        <f>C89-B89</f>
        <v>238</v>
      </c>
      <c r="H89" t="str">
        <f>IF(F89&lt;3,"Poor",IF(F89&lt;4.5,"Average","Excellent"))</f>
        <v>Poor</v>
      </c>
      <c r="I89" t="str">
        <f>IF(D89&lt;20%,"Low Discount",IF(D89&lt;41%,"Medium Discount","High Discount"))</f>
        <v>High Discount</v>
      </c>
    </row>
    <row r="90" spans="1:9" x14ac:dyDescent="0.25">
      <c r="A90" t="s">
        <v>94</v>
      </c>
      <c r="B90" s="4">
        <v>248</v>
      </c>
      <c r="C90" s="4">
        <v>486</v>
      </c>
      <c r="D90" s="8">
        <v>0.49</v>
      </c>
      <c r="G90" s="4">
        <f>C90-B90</f>
        <v>238</v>
      </c>
      <c r="H90" t="str">
        <f>IF(F90&lt;3,"Poor",IF(F90&lt;4.5,"Average","Excellent"))</f>
        <v>Poor</v>
      </c>
      <c r="I90" t="str">
        <f>IF(D90&lt;20%,"Low Discount",IF(D90&lt;41%,"Medium Discount","High Discount"))</f>
        <v>High Discount</v>
      </c>
    </row>
    <row r="91" spans="1:9" x14ac:dyDescent="0.25">
      <c r="A91" t="s">
        <v>82</v>
      </c>
      <c r="B91" s="4">
        <v>1466</v>
      </c>
      <c r="C91" s="4">
        <v>1699</v>
      </c>
      <c r="D91" s="8">
        <v>0.14000000000000001</v>
      </c>
      <c r="G91" s="4">
        <f>C91-B91</f>
        <v>233</v>
      </c>
      <c r="H91" t="str">
        <f>IF(F91&lt;3,"Poor",IF(F91&lt;4.5,"Average","Excellent"))</f>
        <v>Poor</v>
      </c>
      <c r="I91" t="str">
        <f>IF(D91&lt;20%,"Low Discount",IF(D91&lt;41%,"Medium Discount","High Discount"))</f>
        <v>Low Discount</v>
      </c>
    </row>
    <row r="92" spans="1:9" x14ac:dyDescent="0.25">
      <c r="A92" t="s">
        <v>85</v>
      </c>
      <c r="B92" s="4">
        <v>1468</v>
      </c>
      <c r="C92" s="4">
        <v>1699</v>
      </c>
      <c r="D92" s="8">
        <v>0.14000000000000001</v>
      </c>
      <c r="G92" s="4">
        <f>C92-B92</f>
        <v>231</v>
      </c>
      <c r="H92" t="str">
        <f>IF(F92&lt;3,"Poor",IF(F92&lt;4.5,"Average","Excellent"))</f>
        <v>Poor</v>
      </c>
      <c r="I92" t="str">
        <f>IF(D92&lt;20%,"Low Discount",IF(D92&lt;41%,"Medium Discount","High Discount"))</f>
        <v>Low Discount</v>
      </c>
    </row>
    <row r="93" spans="1:9" x14ac:dyDescent="0.25">
      <c r="A93" t="s">
        <v>25</v>
      </c>
      <c r="B93" s="4">
        <v>420</v>
      </c>
      <c r="C93" s="4">
        <v>647</v>
      </c>
      <c r="D93" s="8">
        <v>0.35</v>
      </c>
      <c r="E93" s="13">
        <v>49</v>
      </c>
      <c r="F93">
        <v>4.5999999999999996</v>
      </c>
      <c r="G93" s="4">
        <f>C93-B93</f>
        <v>227</v>
      </c>
      <c r="H93" t="str">
        <f>IF(F93&lt;3,"Poor",IF(F93&lt;4.5,"Average","Excellent"))</f>
        <v>Excellent</v>
      </c>
      <c r="I93" t="str">
        <f>IF(D93&lt;20%,"Low Discount",IF(D93&lt;41%,"Medium Discount","High Discount"))</f>
        <v>Medium Discount</v>
      </c>
    </row>
    <row r="94" spans="1:9" x14ac:dyDescent="0.25">
      <c r="A94" t="s">
        <v>76</v>
      </c>
      <c r="B94" s="4">
        <v>230</v>
      </c>
      <c r="C94" s="4">
        <v>450</v>
      </c>
      <c r="D94" s="8">
        <v>0.49</v>
      </c>
      <c r="G94" s="4">
        <f>C94-B94</f>
        <v>220</v>
      </c>
      <c r="H94" t="str">
        <f>IF(F94&lt;3,"Poor",IF(F94&lt;4.5,"Average","Excellent"))</f>
        <v>Poor</v>
      </c>
      <c r="I94" t="str">
        <f>IF(D94&lt;20%,"Low Discount",IF(D94&lt;41%,"Medium Discount","High Discount"))</f>
        <v>High Discount</v>
      </c>
    </row>
    <row r="95" spans="1:9" x14ac:dyDescent="0.25">
      <c r="A95" t="s">
        <v>10</v>
      </c>
      <c r="B95" s="4">
        <v>799</v>
      </c>
      <c r="C95" s="4">
        <v>999</v>
      </c>
      <c r="D95" s="8">
        <v>0.2</v>
      </c>
      <c r="E95" s="13">
        <v>12</v>
      </c>
      <c r="F95">
        <v>4.0999999999999996</v>
      </c>
      <c r="G95" s="4">
        <f>C95-B95</f>
        <v>200</v>
      </c>
      <c r="H95" t="str">
        <f>IF(F95&lt;3,"Poor",IF(F95&lt;4.5,"Average","Excellent"))</f>
        <v>Average</v>
      </c>
      <c r="I95" t="str">
        <f>IF(D95&lt;20%,"Low Discount",IF(D95&lt;41%,"Medium Discount","High Discount"))</f>
        <v>Medium Discount</v>
      </c>
    </row>
    <row r="96" spans="1:9" x14ac:dyDescent="0.25">
      <c r="A96" t="s">
        <v>30</v>
      </c>
      <c r="B96" s="4">
        <v>185</v>
      </c>
      <c r="C96" s="4">
        <v>382</v>
      </c>
      <c r="D96" s="8">
        <v>0.52</v>
      </c>
      <c r="E96" s="13">
        <v>9</v>
      </c>
      <c r="F96">
        <v>4.3</v>
      </c>
      <c r="G96" s="4">
        <f>C96-B96</f>
        <v>197</v>
      </c>
      <c r="H96" t="str">
        <f>IF(F96&lt;3,"Poor",IF(F96&lt;4.5,"Average","Excellent"))</f>
        <v>Average</v>
      </c>
      <c r="I96" t="str">
        <f>IF(D96&lt;20%,"Low Discount",IF(D96&lt;41%,"Medium Discount","High Discount"))</f>
        <v>High Discount</v>
      </c>
    </row>
    <row r="97" spans="1:9" x14ac:dyDescent="0.25">
      <c r="A97" t="s">
        <v>36</v>
      </c>
      <c r="B97" s="4">
        <v>171</v>
      </c>
      <c r="C97" s="4">
        <v>360</v>
      </c>
      <c r="D97" s="8">
        <v>0.53</v>
      </c>
      <c r="E97" s="13">
        <v>2</v>
      </c>
      <c r="F97">
        <v>5</v>
      </c>
      <c r="G97" s="4">
        <f>C97-B97</f>
        <v>189</v>
      </c>
      <c r="H97" t="str">
        <f>IF(F97&lt;3,"Poor",IF(F97&lt;4.5,"Average","Excellent"))</f>
        <v>Excellent</v>
      </c>
      <c r="I97" t="str">
        <f>IF(D97&lt;20%,"Low Discount",IF(D97&lt;41%,"Medium Discount","High Discount"))</f>
        <v>High Discount</v>
      </c>
    </row>
    <row r="98" spans="1:9" x14ac:dyDescent="0.25">
      <c r="A98" t="s">
        <v>48</v>
      </c>
      <c r="B98" s="4">
        <v>176</v>
      </c>
      <c r="C98" s="4">
        <v>345</v>
      </c>
      <c r="D98" s="8">
        <v>0.49</v>
      </c>
      <c r="G98" s="4">
        <f>C98-B98</f>
        <v>169</v>
      </c>
      <c r="H98" t="str">
        <f>IF(F98&lt;3,"Poor",IF(F98&lt;4.5,"Average","Excellent"))</f>
        <v>Poor</v>
      </c>
      <c r="I98" t="str">
        <f>IF(D98&lt;20%,"Low Discount",IF(D98&lt;41%,"Medium Discount","High Discount"))</f>
        <v>High Discount</v>
      </c>
    </row>
    <row r="99" spans="1:9" x14ac:dyDescent="0.25">
      <c r="A99" t="s">
        <v>16</v>
      </c>
      <c r="B99" s="4">
        <v>195</v>
      </c>
      <c r="C99" s="4">
        <v>360</v>
      </c>
      <c r="D99" s="8">
        <v>0.46</v>
      </c>
      <c r="E99" s="13">
        <v>2</v>
      </c>
      <c r="F99">
        <v>5</v>
      </c>
      <c r="G99" s="4">
        <f>C99-B99</f>
        <v>165</v>
      </c>
      <c r="H99" t="str">
        <f>IF(F99&lt;3,"Poor",IF(F99&lt;4.5,"Average","Excellent"))</f>
        <v>Excellent</v>
      </c>
      <c r="I99" t="str">
        <f>IF(D99&lt;20%,"Low Discount",IF(D99&lt;41%,"Medium Discount","High Discount"))</f>
        <v>High Discount</v>
      </c>
    </row>
    <row r="100" spans="1:9" x14ac:dyDescent="0.25">
      <c r="A100" t="s">
        <v>95</v>
      </c>
      <c r="B100" s="4">
        <v>3546</v>
      </c>
      <c r="C100" s="4">
        <v>3699</v>
      </c>
      <c r="D100" s="8">
        <v>0.04</v>
      </c>
      <c r="G100" s="4">
        <f>C100-B100</f>
        <v>153</v>
      </c>
      <c r="H100" t="str">
        <f>IF(F100&lt;3,"Poor",IF(F100&lt;4.5,"Average","Excellent"))</f>
        <v>Poor</v>
      </c>
      <c r="I100" t="str">
        <f>IF(D100&lt;20%,"Low Discount",IF(D100&lt;41%,"Medium Discount","High Discount"))</f>
        <v>Low Discount</v>
      </c>
    </row>
    <row r="101" spans="1:9" x14ac:dyDescent="0.25">
      <c r="A101" t="s">
        <v>108</v>
      </c>
      <c r="B101" s="4">
        <v>169</v>
      </c>
      <c r="C101" s="4">
        <v>320</v>
      </c>
      <c r="D101" s="8">
        <v>0.47</v>
      </c>
      <c r="G101" s="4">
        <f>C101-B101</f>
        <v>151</v>
      </c>
      <c r="H101" t="str">
        <f>IF(F101&lt;3,"Poor",IF(F101&lt;4.5,"Average","Excellent"))</f>
        <v>Poor</v>
      </c>
      <c r="I101" t="str">
        <f>IF(D101&lt;20%,"Low Discount",IF(D101&lt;41%,"Medium Discount","High Discount"))</f>
        <v>High Discount</v>
      </c>
    </row>
    <row r="102" spans="1:9" x14ac:dyDescent="0.25">
      <c r="A102" t="s">
        <v>92</v>
      </c>
      <c r="B102" s="4">
        <v>1526</v>
      </c>
      <c r="C102" s="4">
        <v>1660</v>
      </c>
      <c r="D102" s="8">
        <v>0.08</v>
      </c>
      <c r="G102" s="4">
        <f>C102-B102</f>
        <v>134</v>
      </c>
      <c r="H102" t="str">
        <f>IF(F102&lt;3,"Poor",IF(F102&lt;4.5,"Average","Excellent"))</f>
        <v>Poor</v>
      </c>
      <c r="I102" t="str">
        <f>IF(D102&lt;20%,"Low Discount",IF(D102&lt;41%,"Medium Discount","High Discount"))</f>
        <v>Low Discount</v>
      </c>
    </row>
    <row r="103" spans="1:9" x14ac:dyDescent="0.25">
      <c r="A103" t="s">
        <v>84</v>
      </c>
      <c r="B103" s="4">
        <v>799</v>
      </c>
      <c r="C103" s="4">
        <v>900</v>
      </c>
      <c r="D103" s="8">
        <v>0.11</v>
      </c>
      <c r="G103" s="4">
        <f>C103-B103</f>
        <v>101</v>
      </c>
      <c r="H103" t="str">
        <f>IF(F103&lt;3,"Poor",IF(F103&lt;4.5,"Average","Excellent"))</f>
        <v>Poor</v>
      </c>
      <c r="I103" t="str">
        <f>IF(D103&lt;20%,"Low Discount",IF(D103&lt;41%,"Medium Discount","High Discount"))</f>
        <v>Low Discount</v>
      </c>
    </row>
    <row r="104" spans="1:9" x14ac:dyDescent="0.25">
      <c r="A104" t="s">
        <v>89</v>
      </c>
      <c r="B104" s="4">
        <v>105</v>
      </c>
      <c r="C104" s="4">
        <v>200</v>
      </c>
      <c r="D104" s="8">
        <v>0.48</v>
      </c>
      <c r="G104" s="4">
        <f>C104-B104</f>
        <v>95</v>
      </c>
      <c r="H104" t="str">
        <f>IF(F104&lt;3,"Poor",IF(F104&lt;4.5,"Average","Excellent"))</f>
        <v>Poor</v>
      </c>
      <c r="I104" t="str">
        <f>IF(D104&lt;20%,"Low Discount",IF(D104&lt;41%,"Medium Discount","High Discount"))</f>
        <v>High Discount</v>
      </c>
    </row>
    <row r="105" spans="1:9" x14ac:dyDescent="0.25">
      <c r="A105" t="s">
        <v>51</v>
      </c>
      <c r="B105" s="4">
        <v>299</v>
      </c>
      <c r="C105" s="4">
        <v>384</v>
      </c>
      <c r="D105" s="8">
        <v>0.22</v>
      </c>
      <c r="G105" s="4">
        <f>C105-B105</f>
        <v>85</v>
      </c>
      <c r="H105" t="str">
        <f>IF(F105&lt;3,"Poor",IF(F105&lt;4.5,"Average","Excellent"))</f>
        <v>Poor</v>
      </c>
      <c r="I105" t="str">
        <f>IF(D105&lt;20%,"Low Discount",IF(D105&lt;41%,"Medium Discount","High Discount"))</f>
        <v>Medium Discount</v>
      </c>
    </row>
    <row r="106" spans="1:9" x14ac:dyDescent="0.25">
      <c r="A106" t="s">
        <v>75</v>
      </c>
      <c r="B106" s="4">
        <v>1732</v>
      </c>
      <c r="C106" s="4">
        <v>1799</v>
      </c>
      <c r="D106" s="8">
        <v>0.04</v>
      </c>
      <c r="G106" s="4">
        <f>C106-B106</f>
        <v>67</v>
      </c>
      <c r="H106" t="str">
        <f>IF(F106&lt;3,"Poor",IF(F106&lt;4.5,"Average","Excellent"))</f>
        <v>Poor</v>
      </c>
      <c r="I106" t="str">
        <f>IF(D106&lt;20%,"Low Discount",IF(D106&lt;41%,"Medium Discount","High Discount"))</f>
        <v>Low Discount</v>
      </c>
    </row>
    <row r="107" spans="1:9" x14ac:dyDescent="0.25">
      <c r="A107" t="s">
        <v>101</v>
      </c>
      <c r="B107" s="4">
        <v>198</v>
      </c>
      <c r="C107" s="4">
        <v>260</v>
      </c>
      <c r="D107" s="8">
        <v>0.24</v>
      </c>
      <c r="G107" s="4">
        <f>C107-B107</f>
        <v>62</v>
      </c>
      <c r="H107" t="str">
        <f>IF(F107&lt;3,"Poor",IF(F107&lt;4.5,"Average","Excellent"))</f>
        <v>Poor</v>
      </c>
      <c r="I107" t="str">
        <f>IF(D107&lt;20%,"Low Discount",IF(D107&lt;41%,"Medium Discount","High Discount"))</f>
        <v>Medium Discount</v>
      </c>
    </row>
    <row r="108" spans="1:9" x14ac:dyDescent="0.25">
      <c r="A108" t="s">
        <v>20</v>
      </c>
      <c r="B108" s="4">
        <v>38</v>
      </c>
      <c r="C108" s="4">
        <v>80</v>
      </c>
      <c r="D108" s="8">
        <v>0.53</v>
      </c>
      <c r="E108" s="13">
        <v>13</v>
      </c>
      <c r="F108">
        <v>3.3</v>
      </c>
      <c r="G108" s="4">
        <f>C108-B108</f>
        <v>42</v>
      </c>
      <c r="H108" t="str">
        <f>IF(F108&lt;3,"Poor",IF(F108&lt;4.5,"Average","Excellent"))</f>
        <v>Average</v>
      </c>
      <c r="I108" t="str">
        <f>IF(D108&lt;20%,"Low Discount",IF(D108&lt;41%,"Medium Discount","High Discount"))</f>
        <v>High Discount</v>
      </c>
    </row>
    <row r="109" spans="1:9" x14ac:dyDescent="0.25">
      <c r="A109" t="s">
        <v>104</v>
      </c>
      <c r="B109" s="4">
        <v>1658</v>
      </c>
      <c r="C109" s="4">
        <v>1699</v>
      </c>
      <c r="D109" s="8">
        <v>0.02</v>
      </c>
      <c r="G109" s="4">
        <f>C109-B109</f>
        <v>41</v>
      </c>
      <c r="H109" t="str">
        <f>IF(F109&lt;3,"Poor",IF(F109&lt;4.5,"Average","Excellent"))</f>
        <v>Poor</v>
      </c>
      <c r="I109" t="str">
        <f>IF(D109&lt;20%,"Low Discount",IF(D109&lt;41%,"Medium Discount","High Discount"))</f>
        <v>Low Discount</v>
      </c>
    </row>
    <row r="110" spans="1:9" x14ac:dyDescent="0.25">
      <c r="A110" t="s">
        <v>52</v>
      </c>
      <c r="B110" s="4">
        <v>1459</v>
      </c>
      <c r="C110" s="4">
        <v>1499</v>
      </c>
      <c r="D110" s="8">
        <v>0.03</v>
      </c>
      <c r="G110" s="4">
        <f>C110-B110</f>
        <v>40</v>
      </c>
      <c r="H110" t="str">
        <f>IF(F110&lt;3,"Poor",IF(F110&lt;4.5,"Average","Excellent"))</f>
        <v>Poor</v>
      </c>
      <c r="I110" t="str">
        <f>IF(D110&lt;20%,"Low Discount",IF(D110&lt;41%,"Medium Discount","High Discount"))</f>
        <v>Low Discount</v>
      </c>
    </row>
    <row r="111" spans="1:9" x14ac:dyDescent="0.25">
      <c r="A111" t="s">
        <v>50</v>
      </c>
      <c r="B111" s="4">
        <v>1660</v>
      </c>
      <c r="C111" s="4">
        <v>1699</v>
      </c>
      <c r="D111" s="8">
        <v>0.02</v>
      </c>
      <c r="G111" s="4">
        <f>C111-B111</f>
        <v>39</v>
      </c>
      <c r="H111" t="str">
        <f>IF(F111&lt;3,"Poor",IF(F111&lt;4.5,"Average","Excellent"))</f>
        <v>Poor</v>
      </c>
      <c r="I111" t="str">
        <f>IF(D111&lt;20%,"Low Discount",IF(D111&lt;41%,"Medium Discount","High Discount"))</f>
        <v>Low Discount</v>
      </c>
    </row>
    <row r="112" spans="1:9" x14ac:dyDescent="0.25">
      <c r="A112" t="s">
        <v>43</v>
      </c>
      <c r="B112" s="4">
        <v>2132</v>
      </c>
      <c r="C112" s="4">
        <v>2169</v>
      </c>
      <c r="D112" s="8">
        <v>0.02</v>
      </c>
      <c r="G112" s="4">
        <f>C112-B112</f>
        <v>37</v>
      </c>
      <c r="H112" t="str">
        <f>IF(F112&lt;3,"Poor",IF(F112&lt;4.5,"Average","Excellent"))</f>
        <v>Poor</v>
      </c>
      <c r="I112" t="str">
        <f>IF(D112&lt;20%,"Low Discount",IF(D112&lt;41%,"Medium Discount","High Discount"))</f>
        <v>Low Discount</v>
      </c>
    </row>
    <row r="113" spans="1:9" x14ac:dyDescent="0.25">
      <c r="A113" t="s">
        <v>93</v>
      </c>
      <c r="B113" s="4">
        <v>1462</v>
      </c>
      <c r="C113" s="4">
        <v>1499</v>
      </c>
      <c r="D113" s="8">
        <v>0.02</v>
      </c>
      <c r="G113" s="4">
        <f>C113-B113</f>
        <v>37</v>
      </c>
      <c r="H113" t="str">
        <f>IF(F113&lt;3,"Poor",IF(F113&lt;4.5,"Average","Excellent"))</f>
        <v>Poor</v>
      </c>
      <c r="I113" t="str">
        <f>IF(D113&lt;20%,"Low Discount",IF(D113&lt;41%,"Medium Discount","High Discount"))</f>
        <v>Low Discount</v>
      </c>
    </row>
    <row r="114" spans="1:9" x14ac:dyDescent="0.25">
      <c r="A114" t="s">
        <v>80</v>
      </c>
      <c r="B114" s="4">
        <v>1666</v>
      </c>
      <c r="C114" s="4">
        <v>1699</v>
      </c>
      <c r="D114" s="8">
        <v>0.02</v>
      </c>
      <c r="G114" s="4">
        <f>C114-B114</f>
        <v>33</v>
      </c>
      <c r="H114" t="str">
        <f>IF(F114&lt;3,"Poor",IF(F114&lt;4.5,"Average","Excellent"))</f>
        <v>Poor</v>
      </c>
      <c r="I114" t="str">
        <f>IF(D114&lt;20%,"Low Discount",IF(D114&lt;41%,"Medium Discount","High Discount"))</f>
        <v>Low Discount</v>
      </c>
    </row>
    <row r="115" spans="1:9" x14ac:dyDescent="0.25">
      <c r="A115" t="s">
        <v>105</v>
      </c>
      <c r="B115" s="4">
        <v>1768</v>
      </c>
      <c r="C115" s="4">
        <v>1799</v>
      </c>
      <c r="D115" s="8">
        <v>0.02</v>
      </c>
      <c r="G115" s="4">
        <f>C115-B115</f>
        <v>31</v>
      </c>
      <c r="H115" t="str">
        <f>IF(F115&lt;3,"Poor",IF(F115&lt;4.5,"Average","Excellent"))</f>
        <v>Poor</v>
      </c>
      <c r="I115" t="str">
        <f>IF(D115&lt;20%,"Low Discount",IF(D115&lt;41%,"Medium Discount","High Discount"))</f>
        <v>Low Discount</v>
      </c>
    </row>
    <row r="116" spans="1:9" x14ac:dyDescent="0.25">
      <c r="A116" t="s">
        <v>100</v>
      </c>
      <c r="B116" s="4">
        <v>1875</v>
      </c>
      <c r="C116" s="4">
        <v>1899</v>
      </c>
      <c r="D116" s="8">
        <v>0.01</v>
      </c>
      <c r="G116" s="4">
        <f>C116-B116</f>
        <v>24</v>
      </c>
      <c r="H116" t="str">
        <f>IF(F116&lt;3,"Poor",IF(F116&lt;4.5,"Average","Excellent"))</f>
        <v>Poor</v>
      </c>
      <c r="I116" t="str">
        <f>IF(D116&lt;20%,"Low Discount",IF(D116&lt;41%,"Medium Discount","High Discount"))</f>
        <v>Low Discount</v>
      </c>
    </row>
    <row r="117" spans="1:9" x14ac:dyDescent="0.25">
      <c r="B117" s="4">
        <f>SUM(B2:B116)</f>
        <v>134871</v>
      </c>
      <c r="C117" s="4">
        <f>SUM(C2:C116)</f>
        <v>206163</v>
      </c>
      <c r="D117" s="8">
        <f>AVERAGE(D2:D116)</f>
        <v>0.36956521739130466</v>
      </c>
      <c r="E117" s="13">
        <f>AVERAGE(E2:E116)</f>
        <v>12.684210526315789</v>
      </c>
      <c r="F117">
        <f>AVERAGE(F2:F116)</f>
        <v>3.8894736842105266</v>
      </c>
      <c r="G117" s="4">
        <f>AVERAGE(G2:G116)</f>
        <v>619.9304347826087</v>
      </c>
    </row>
    <row r="118" spans="1:9" x14ac:dyDescent="0.25">
      <c r="B118"/>
    </row>
    <row r="119" spans="1:9" x14ac:dyDescent="0.25">
      <c r="B119"/>
    </row>
    <row r="120" spans="1:9" x14ac:dyDescent="0.25">
      <c r="B120"/>
    </row>
    <row r="121" spans="1:9" x14ac:dyDescent="0.25">
      <c r="B121"/>
    </row>
    <row r="122" spans="1:9" x14ac:dyDescent="0.25">
      <c r="B122"/>
      <c r="C122"/>
    </row>
    <row r="123" spans="1:9" x14ac:dyDescent="0.25">
      <c r="B123"/>
      <c r="C12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2D6B-68C5-4A94-90D1-BA612823F5E1}">
  <dimension ref="A1:C5"/>
  <sheetViews>
    <sheetView tabSelected="1" workbookViewId="0">
      <selection activeCell="I19" sqref="I19"/>
    </sheetView>
  </sheetViews>
  <sheetFormatPr defaultRowHeight="15" x14ac:dyDescent="0.25"/>
  <cols>
    <col min="1" max="1" width="16.7109375" bestFit="1" customWidth="1"/>
    <col min="2" max="2" width="33" bestFit="1" customWidth="1"/>
    <col min="3" max="3" width="20" bestFit="1" customWidth="1"/>
  </cols>
  <sheetData>
    <row r="1" spans="1:3" x14ac:dyDescent="0.25">
      <c r="A1" s="11" t="s">
        <v>117</v>
      </c>
      <c r="B1" t="s">
        <v>121</v>
      </c>
      <c r="C1" t="s">
        <v>128</v>
      </c>
    </row>
    <row r="2" spans="1:3" x14ac:dyDescent="0.25">
      <c r="A2" s="12" t="s">
        <v>118</v>
      </c>
      <c r="B2" s="1">
        <v>7.2222222222222243E-2</v>
      </c>
      <c r="C2" s="13">
        <v>3.7249999999999996</v>
      </c>
    </row>
    <row r="3" spans="1:3" x14ac:dyDescent="0.25">
      <c r="A3" s="12" t="s">
        <v>119</v>
      </c>
      <c r="B3" s="1">
        <v>0.30999999999999994</v>
      </c>
      <c r="C3" s="13">
        <v>4.2782608695652184</v>
      </c>
    </row>
    <row r="4" spans="1:3" x14ac:dyDescent="0.25">
      <c r="A4" s="12" t="s">
        <v>127</v>
      </c>
      <c r="B4" s="1">
        <v>0.48123076923076896</v>
      </c>
      <c r="C4" s="13">
        <v>3.6133333333333324</v>
      </c>
    </row>
    <row r="5" spans="1:3" x14ac:dyDescent="0.25">
      <c r="A5" s="12" t="s">
        <v>120</v>
      </c>
      <c r="B5" s="1">
        <v>0.36956521739130443</v>
      </c>
      <c r="C5" s="13">
        <v>3.8894736842105271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9555-1B13-4357-B307-D09EED6497D3}">
  <dimension ref="A1:C5"/>
  <sheetViews>
    <sheetView workbookViewId="0">
      <selection activeCell="F32" sqref="F32"/>
    </sheetView>
  </sheetViews>
  <sheetFormatPr defaultRowHeight="15" x14ac:dyDescent="0.25"/>
  <cols>
    <col min="1" max="1" width="16.7109375" bestFit="1" customWidth="1"/>
    <col min="2" max="2" width="18.28515625" bestFit="1" customWidth="1"/>
    <col min="3" max="3" width="20" bestFit="1" customWidth="1"/>
  </cols>
  <sheetData>
    <row r="1" spans="1:3" x14ac:dyDescent="0.25">
      <c r="A1" s="11" t="s">
        <v>117</v>
      </c>
      <c r="B1" t="s">
        <v>126</v>
      </c>
      <c r="C1" t="s">
        <v>128</v>
      </c>
    </row>
    <row r="2" spans="1:3" x14ac:dyDescent="0.25">
      <c r="A2" s="12" t="s">
        <v>118</v>
      </c>
      <c r="B2" s="13">
        <v>9.5</v>
      </c>
      <c r="C2" s="13">
        <v>3.7249999999999996</v>
      </c>
    </row>
    <row r="3" spans="1:3" x14ac:dyDescent="0.25">
      <c r="A3" s="12" t="s">
        <v>119</v>
      </c>
      <c r="B3" s="13">
        <v>15.260869565217391</v>
      </c>
      <c r="C3" s="13">
        <v>4.2782608695652184</v>
      </c>
    </row>
    <row r="4" spans="1:3" x14ac:dyDescent="0.25">
      <c r="A4" s="12" t="s">
        <v>127</v>
      </c>
      <c r="B4" s="13">
        <v>11.133333333333333</v>
      </c>
      <c r="C4" s="13">
        <v>3.6133333333333324</v>
      </c>
    </row>
    <row r="5" spans="1:3" x14ac:dyDescent="0.25">
      <c r="A5" s="12" t="s">
        <v>120</v>
      </c>
      <c r="B5" s="13">
        <v>12.684210526315789</v>
      </c>
      <c r="C5" s="13">
        <v>3.8894736842105271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7B0C-1345-444C-8BCF-7C2E377D3D44}">
  <dimension ref="A3:B16"/>
  <sheetViews>
    <sheetView workbookViewId="0">
      <selection activeCell="A15" sqref="A15"/>
    </sheetView>
  </sheetViews>
  <sheetFormatPr defaultRowHeight="15" x14ac:dyDescent="0.25"/>
  <cols>
    <col min="1" max="1" width="13.140625" bestFit="1" customWidth="1"/>
    <col min="2" max="2" width="20" bestFit="1" customWidth="1"/>
    <col min="3" max="8" width="2" bestFit="1" customWidth="1"/>
    <col min="9" max="24" width="3" bestFit="1" customWidth="1"/>
    <col min="25" max="25" width="11.28515625" bestFit="1" customWidth="1"/>
  </cols>
  <sheetData>
    <row r="3" spans="1:2" x14ac:dyDescent="0.25">
      <c r="A3" s="11" t="s">
        <v>117</v>
      </c>
      <c r="B3" t="s">
        <v>128</v>
      </c>
    </row>
    <row r="4" spans="1:2" x14ac:dyDescent="0.25">
      <c r="A4" s="12" t="s">
        <v>136</v>
      </c>
      <c r="B4" s="13"/>
    </row>
    <row r="5" spans="1:2" x14ac:dyDescent="0.25">
      <c r="A5" s="12" t="s">
        <v>137</v>
      </c>
      <c r="B5" s="13">
        <v>4.384615384615385</v>
      </c>
    </row>
    <row r="6" spans="1:2" x14ac:dyDescent="0.25">
      <c r="A6" s="12" t="s">
        <v>138</v>
      </c>
      <c r="B6" s="13">
        <v>3.5449999999999995</v>
      </c>
    </row>
    <row r="7" spans="1:2" x14ac:dyDescent="0.25">
      <c r="A7" s="12" t="s">
        <v>139</v>
      </c>
      <c r="B7" s="13">
        <v>3.8100000000000009</v>
      </c>
    </row>
    <row r="8" spans="1:2" x14ac:dyDescent="0.25">
      <c r="A8" s="12" t="s">
        <v>140</v>
      </c>
      <c r="B8" s="13">
        <v>3.05</v>
      </c>
    </row>
    <row r="9" spans="1:2" x14ac:dyDescent="0.25">
      <c r="A9" s="12" t="s">
        <v>141</v>
      </c>
      <c r="B9" s="13">
        <v>4.4666666666666659</v>
      </c>
    </row>
    <row r="10" spans="1:2" x14ac:dyDescent="0.25">
      <c r="A10" s="12" t="s">
        <v>142</v>
      </c>
      <c r="B10" s="13">
        <v>4.5</v>
      </c>
    </row>
    <row r="11" spans="1:2" x14ac:dyDescent="0.25">
      <c r="A11" s="12" t="s">
        <v>143</v>
      </c>
      <c r="B11" s="13">
        <v>4.5</v>
      </c>
    </row>
    <row r="12" spans="1:2" x14ac:dyDescent="0.25">
      <c r="A12" s="12" t="s">
        <v>144</v>
      </c>
      <c r="B12" s="13">
        <v>4.5999999999999996</v>
      </c>
    </row>
    <row r="13" spans="1:2" x14ac:dyDescent="0.25">
      <c r="A13" s="12" t="s">
        <v>145</v>
      </c>
      <c r="B13" s="13">
        <v>4.5999999999999996</v>
      </c>
    </row>
    <row r="14" spans="1:2" x14ac:dyDescent="0.25">
      <c r="A14" s="12" t="s">
        <v>146</v>
      </c>
      <c r="B14" s="13">
        <v>4.5999999999999996</v>
      </c>
    </row>
    <row r="15" spans="1:2" x14ac:dyDescent="0.25">
      <c r="A15" s="12" t="s">
        <v>147</v>
      </c>
      <c r="B15" s="13">
        <v>2.8</v>
      </c>
    </row>
    <row r="16" spans="1:2" x14ac:dyDescent="0.25">
      <c r="A16" s="12" t="s">
        <v>120</v>
      </c>
      <c r="B16" s="13">
        <v>3.8894736842105258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C81B-0C08-4BEF-979E-125CAE707599}">
  <dimension ref="A1:C48"/>
  <sheetViews>
    <sheetView workbookViewId="0">
      <selection activeCell="A3" sqref="A3"/>
    </sheetView>
  </sheetViews>
  <sheetFormatPr defaultRowHeight="15" x14ac:dyDescent="0.25"/>
  <cols>
    <col min="1" max="1" width="13.140625" style="15" bestFit="1" customWidth="1"/>
    <col min="2" max="2" width="18.28515625" bestFit="1" customWidth="1"/>
    <col min="3" max="3" width="25.140625" bestFit="1" customWidth="1"/>
  </cols>
  <sheetData>
    <row r="1" spans="1:3" x14ac:dyDescent="0.25">
      <c r="A1" s="18" t="s">
        <v>117</v>
      </c>
      <c r="B1" t="s">
        <v>126</v>
      </c>
      <c r="C1" t="s">
        <v>148</v>
      </c>
    </row>
    <row r="2" spans="1:3" x14ac:dyDescent="0.25">
      <c r="A2" s="14" t="s">
        <v>129</v>
      </c>
      <c r="B2" s="13">
        <v>15</v>
      </c>
      <c r="C2" s="4">
        <v>1956.9166666666667</v>
      </c>
    </row>
    <row r="3" spans="1:3" x14ac:dyDescent="0.25">
      <c r="A3" s="14" t="s">
        <v>130</v>
      </c>
      <c r="B3" s="13">
        <v>8.75</v>
      </c>
      <c r="C3" s="4">
        <v>1797.2857142857142</v>
      </c>
    </row>
    <row r="4" spans="1:3" x14ac:dyDescent="0.25">
      <c r="A4" s="14" t="s">
        <v>131</v>
      </c>
      <c r="B4" s="13">
        <v>19.2</v>
      </c>
      <c r="C4" s="4">
        <v>1849.3846153846155</v>
      </c>
    </row>
    <row r="5" spans="1:3" x14ac:dyDescent="0.25">
      <c r="A5" s="14" t="s">
        <v>132</v>
      </c>
      <c r="B5" s="13">
        <v>12.25</v>
      </c>
      <c r="C5" s="4">
        <v>1430.4444444444443</v>
      </c>
    </row>
    <row r="6" spans="1:3" x14ac:dyDescent="0.25">
      <c r="A6" s="14" t="s">
        <v>133</v>
      </c>
      <c r="B6" s="13">
        <v>12.285714285714286</v>
      </c>
      <c r="C6" s="4">
        <v>778.75471698113211</v>
      </c>
    </row>
    <row r="7" spans="1:3" x14ac:dyDescent="0.25">
      <c r="A7" s="14" t="s">
        <v>134</v>
      </c>
      <c r="B7" s="13">
        <v>8.4444444444444446</v>
      </c>
      <c r="C7" s="4">
        <v>734.5</v>
      </c>
    </row>
    <row r="8" spans="1:3" x14ac:dyDescent="0.25">
      <c r="A8" s="14" t="s">
        <v>135</v>
      </c>
      <c r="B8" s="13"/>
      <c r="C8" s="4">
        <v>199</v>
      </c>
    </row>
    <row r="9" spans="1:3" x14ac:dyDescent="0.25">
      <c r="A9" s="19" t="s">
        <v>120</v>
      </c>
      <c r="B9" s="13">
        <v>12.684210526315789</v>
      </c>
      <c r="C9" s="4">
        <v>1172.7913043478261</v>
      </c>
    </row>
    <row r="10" spans="1:3" x14ac:dyDescent="0.25">
      <c r="A10"/>
    </row>
    <row r="11" spans="1:3" x14ac:dyDescent="0.25">
      <c r="A11"/>
    </row>
    <row r="12" spans="1:3" x14ac:dyDescent="0.25">
      <c r="A12"/>
    </row>
    <row r="13" spans="1:3" x14ac:dyDescent="0.25">
      <c r="A13"/>
    </row>
    <row r="14" spans="1:3" x14ac:dyDescent="0.25">
      <c r="A14"/>
    </row>
    <row r="15" spans="1:3" x14ac:dyDescent="0.25">
      <c r="A15"/>
    </row>
    <row r="16" spans="1:3" x14ac:dyDescent="0.25">
      <c r="A16"/>
    </row>
    <row r="17" spans="1:1" x14ac:dyDescent="0.25">
      <c r="A17"/>
    </row>
    <row r="18" spans="1:1" x14ac:dyDescent="0.25">
      <c r="A18"/>
    </row>
    <row r="19" spans="1:1" x14ac:dyDescent="0.25">
      <c r="A19"/>
    </row>
    <row r="20" spans="1:1" x14ac:dyDescent="0.25">
      <c r="A20"/>
    </row>
    <row r="21" spans="1:1" x14ac:dyDescent="0.25">
      <c r="A21"/>
    </row>
    <row r="22" spans="1:1" x14ac:dyDescent="0.25">
      <c r="A22"/>
    </row>
    <row r="23" spans="1:1" x14ac:dyDescent="0.25">
      <c r="A23"/>
    </row>
    <row r="24" spans="1:1" x14ac:dyDescent="0.25">
      <c r="A24"/>
    </row>
    <row r="25" spans="1:1" x14ac:dyDescent="0.25">
      <c r="A25"/>
    </row>
    <row r="26" spans="1:1" x14ac:dyDescent="0.25">
      <c r="A26"/>
    </row>
    <row r="27" spans="1:1" x14ac:dyDescent="0.25">
      <c r="A27"/>
    </row>
    <row r="28" spans="1:1" x14ac:dyDescent="0.25">
      <c r="A28"/>
    </row>
    <row r="29" spans="1:1" x14ac:dyDescent="0.25">
      <c r="A29"/>
    </row>
    <row r="30" spans="1:1" x14ac:dyDescent="0.25">
      <c r="A30"/>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913FD-E17E-4A8B-9855-C89D241F1803}">
  <dimension ref="A1:I11"/>
  <sheetViews>
    <sheetView workbookViewId="0">
      <selection activeCell="A23" sqref="A23"/>
    </sheetView>
  </sheetViews>
  <sheetFormatPr defaultRowHeight="15" x14ac:dyDescent="0.25"/>
  <cols>
    <col min="1" max="1" width="69.85546875" bestFit="1" customWidth="1"/>
    <col min="2" max="2" width="14.85546875" bestFit="1" customWidth="1"/>
    <col min="3" max="3" width="10" bestFit="1" customWidth="1"/>
    <col min="9" max="9" width="19.85546875" bestFit="1" customWidth="1"/>
  </cols>
  <sheetData>
    <row r="1" spans="1:9" x14ac:dyDescent="0.25">
      <c r="A1" s="2" t="s">
        <v>109</v>
      </c>
      <c r="B1" s="3" t="s">
        <v>110</v>
      </c>
      <c r="C1" s="3" t="s">
        <v>111</v>
      </c>
      <c r="D1" s="7" t="s">
        <v>113</v>
      </c>
      <c r="E1" s="2" t="s">
        <v>112</v>
      </c>
      <c r="F1" s="2" t="s">
        <v>122</v>
      </c>
      <c r="G1" s="2" t="s">
        <v>115</v>
      </c>
      <c r="H1" s="2" t="s">
        <v>116</v>
      </c>
      <c r="I1" s="2" t="s">
        <v>114</v>
      </c>
    </row>
    <row r="2" spans="1:9" x14ac:dyDescent="0.25">
      <c r="A2" t="s">
        <v>17</v>
      </c>
      <c r="B2" s="4">
        <v>2025</v>
      </c>
      <c r="C2" s="4">
        <v>3971</v>
      </c>
      <c r="D2" s="8">
        <v>0.49</v>
      </c>
      <c r="E2">
        <v>3</v>
      </c>
      <c r="F2">
        <v>5</v>
      </c>
      <c r="G2" s="4">
        <v>1946</v>
      </c>
      <c r="H2" t="s">
        <v>125</v>
      </c>
      <c r="I2" t="s">
        <v>127</v>
      </c>
    </row>
    <row r="3" spans="1:9" x14ac:dyDescent="0.25">
      <c r="A3" t="s">
        <v>8</v>
      </c>
      <c r="B3" s="4">
        <v>1274</v>
      </c>
      <c r="C3" s="4">
        <v>2800</v>
      </c>
      <c r="D3" s="8">
        <v>0.55000000000000004</v>
      </c>
      <c r="E3">
        <v>5</v>
      </c>
      <c r="F3">
        <v>4.8</v>
      </c>
      <c r="G3" s="4">
        <v>1526</v>
      </c>
      <c r="H3" t="s">
        <v>125</v>
      </c>
      <c r="I3" t="s">
        <v>127</v>
      </c>
    </row>
    <row r="4" spans="1:9" x14ac:dyDescent="0.25">
      <c r="A4" s="5" t="s">
        <v>35</v>
      </c>
      <c r="B4" s="6">
        <v>1620</v>
      </c>
      <c r="C4" s="6">
        <v>2690</v>
      </c>
      <c r="D4" s="9">
        <v>0.4</v>
      </c>
      <c r="E4">
        <v>1</v>
      </c>
      <c r="F4">
        <v>5</v>
      </c>
      <c r="G4" s="4">
        <v>1070</v>
      </c>
      <c r="H4" s="5" t="s">
        <v>125</v>
      </c>
      <c r="I4" t="s">
        <v>119</v>
      </c>
    </row>
    <row r="5" spans="1:9" x14ac:dyDescent="0.25">
      <c r="A5" t="s">
        <v>98</v>
      </c>
      <c r="B5" s="4">
        <v>3640</v>
      </c>
      <c r="C5" s="4">
        <v>4588</v>
      </c>
      <c r="D5" s="8">
        <v>0.21</v>
      </c>
      <c r="E5">
        <v>1</v>
      </c>
      <c r="F5">
        <v>5</v>
      </c>
      <c r="G5" s="4">
        <v>948</v>
      </c>
      <c r="H5" t="s">
        <v>125</v>
      </c>
      <c r="I5" t="s">
        <v>119</v>
      </c>
    </row>
    <row r="6" spans="1:9" x14ac:dyDescent="0.25">
      <c r="A6" t="s">
        <v>78</v>
      </c>
      <c r="B6" s="4">
        <v>979</v>
      </c>
      <c r="C6" s="4">
        <v>1920</v>
      </c>
      <c r="D6" s="8">
        <v>0.49</v>
      </c>
      <c r="E6">
        <v>1</v>
      </c>
      <c r="F6">
        <v>5</v>
      </c>
      <c r="G6" s="4">
        <v>941</v>
      </c>
      <c r="H6" t="s">
        <v>125</v>
      </c>
      <c r="I6" t="s">
        <v>127</v>
      </c>
    </row>
    <row r="7" spans="1:9" x14ac:dyDescent="0.25">
      <c r="A7" t="s">
        <v>4</v>
      </c>
      <c r="B7" s="4">
        <v>1740</v>
      </c>
      <c r="C7" s="4">
        <v>2356</v>
      </c>
      <c r="D7" s="8">
        <v>0.26</v>
      </c>
      <c r="E7">
        <v>5</v>
      </c>
      <c r="F7">
        <v>4.8</v>
      </c>
      <c r="G7" s="4">
        <v>616</v>
      </c>
      <c r="H7" t="s">
        <v>125</v>
      </c>
      <c r="I7" t="s">
        <v>119</v>
      </c>
    </row>
    <row r="8" spans="1:9" x14ac:dyDescent="0.25">
      <c r="A8" t="s">
        <v>12</v>
      </c>
      <c r="B8" s="4">
        <v>552</v>
      </c>
      <c r="C8" s="4">
        <v>1035</v>
      </c>
      <c r="D8" s="8">
        <v>0.47</v>
      </c>
      <c r="E8">
        <v>12</v>
      </c>
      <c r="F8">
        <v>4.8</v>
      </c>
      <c r="G8" s="4">
        <v>483</v>
      </c>
      <c r="H8" t="s">
        <v>125</v>
      </c>
      <c r="I8" t="s">
        <v>127</v>
      </c>
    </row>
    <row r="9" spans="1:9" x14ac:dyDescent="0.25">
      <c r="A9" t="s">
        <v>15</v>
      </c>
      <c r="B9" s="4">
        <v>332</v>
      </c>
      <c r="C9" s="4">
        <v>684</v>
      </c>
      <c r="D9" s="8">
        <v>0.51</v>
      </c>
      <c r="E9">
        <v>2</v>
      </c>
      <c r="F9">
        <v>5</v>
      </c>
      <c r="G9" s="4">
        <v>352</v>
      </c>
      <c r="H9" t="s">
        <v>125</v>
      </c>
      <c r="I9" t="s">
        <v>127</v>
      </c>
    </row>
    <row r="10" spans="1:9" x14ac:dyDescent="0.25">
      <c r="A10" t="s">
        <v>36</v>
      </c>
      <c r="B10" s="4">
        <v>171</v>
      </c>
      <c r="C10" s="4">
        <v>360</v>
      </c>
      <c r="D10" s="8">
        <v>0.53</v>
      </c>
      <c r="E10">
        <v>2</v>
      </c>
      <c r="F10">
        <v>5</v>
      </c>
      <c r="G10" s="4">
        <v>189</v>
      </c>
      <c r="H10" t="s">
        <v>125</v>
      </c>
      <c r="I10" t="s">
        <v>127</v>
      </c>
    </row>
    <row r="11" spans="1:9" x14ac:dyDescent="0.25">
      <c r="A11" t="s">
        <v>16</v>
      </c>
      <c r="B11" s="4">
        <v>195</v>
      </c>
      <c r="C11" s="4">
        <v>360</v>
      </c>
      <c r="D11" s="8">
        <v>0.46</v>
      </c>
      <c r="E11">
        <v>2</v>
      </c>
      <c r="F11">
        <v>5</v>
      </c>
      <c r="G11" s="4">
        <v>165</v>
      </c>
      <c r="H11" t="s">
        <v>125</v>
      </c>
      <c r="I11"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ACB8-F24A-40D9-9F19-1EE22A16282A}">
  <dimension ref="A1:J11"/>
  <sheetViews>
    <sheetView workbookViewId="0">
      <selection activeCell="H14" sqref="H14"/>
    </sheetView>
  </sheetViews>
  <sheetFormatPr defaultRowHeight="15" x14ac:dyDescent="0.25"/>
  <cols>
    <col min="1" max="1" width="66" bestFit="1" customWidth="1"/>
    <col min="2" max="2" width="14.85546875" bestFit="1" customWidth="1"/>
    <col min="3" max="3" width="10" bestFit="1" customWidth="1"/>
    <col min="4" max="4" width="22.7109375" bestFit="1" customWidth="1"/>
    <col min="9" max="9" width="19.85546875" bestFit="1" customWidth="1"/>
    <col min="12" max="12" width="66" bestFit="1" customWidth="1"/>
    <col min="13" max="13" width="18.28515625" bestFit="1" customWidth="1"/>
  </cols>
  <sheetData>
    <row r="1" spans="1:10" x14ac:dyDescent="0.25">
      <c r="A1" s="2" t="s">
        <v>109</v>
      </c>
      <c r="B1" s="3" t="s">
        <v>110</v>
      </c>
      <c r="C1" s="3" t="s">
        <v>111</v>
      </c>
      <c r="D1" s="7" t="s">
        <v>113</v>
      </c>
      <c r="E1" s="2" t="s">
        <v>112</v>
      </c>
      <c r="F1" s="2" t="s">
        <v>122</v>
      </c>
      <c r="G1" s="2" t="s">
        <v>115</v>
      </c>
      <c r="H1" s="2" t="s">
        <v>116</v>
      </c>
      <c r="I1" s="2" t="s">
        <v>114</v>
      </c>
      <c r="J1" s="10"/>
    </row>
    <row r="2" spans="1:10" x14ac:dyDescent="0.25">
      <c r="A2" t="s">
        <v>19</v>
      </c>
      <c r="B2" s="4">
        <v>998</v>
      </c>
      <c r="C2" s="4">
        <v>1966</v>
      </c>
      <c r="D2" s="8">
        <v>0.49</v>
      </c>
      <c r="E2">
        <v>44</v>
      </c>
      <c r="F2">
        <v>4.5999999999999996</v>
      </c>
      <c r="G2" s="4">
        <v>968</v>
      </c>
      <c r="H2" t="s">
        <v>125</v>
      </c>
      <c r="I2" t="s">
        <v>127</v>
      </c>
    </row>
    <row r="3" spans="1:10" x14ac:dyDescent="0.25">
      <c r="A3" t="s">
        <v>28</v>
      </c>
      <c r="B3" s="4">
        <v>1758</v>
      </c>
      <c r="C3" s="4">
        <v>2499</v>
      </c>
      <c r="D3" s="8">
        <v>0.3</v>
      </c>
      <c r="E3">
        <v>20</v>
      </c>
      <c r="F3">
        <v>4.0999999999999996</v>
      </c>
      <c r="G3" s="4">
        <v>741</v>
      </c>
      <c r="H3" t="s">
        <v>124</v>
      </c>
      <c r="I3" t="s">
        <v>119</v>
      </c>
    </row>
    <row r="4" spans="1:10" x14ac:dyDescent="0.25">
      <c r="A4" t="s">
        <v>2</v>
      </c>
      <c r="B4" s="4">
        <v>2199</v>
      </c>
      <c r="C4" s="4">
        <v>2923</v>
      </c>
      <c r="D4" s="8">
        <v>0.25</v>
      </c>
      <c r="E4">
        <v>24</v>
      </c>
      <c r="F4">
        <v>4.5999999999999996</v>
      </c>
      <c r="G4" s="4">
        <v>724</v>
      </c>
      <c r="H4" t="s">
        <v>125</v>
      </c>
      <c r="I4" t="s">
        <v>119</v>
      </c>
    </row>
    <row r="5" spans="1:10" x14ac:dyDescent="0.25">
      <c r="A5" t="s">
        <v>34</v>
      </c>
      <c r="B5" s="4">
        <v>1980</v>
      </c>
      <c r="C5" s="4">
        <v>2699</v>
      </c>
      <c r="D5" s="8">
        <v>0.27</v>
      </c>
      <c r="E5">
        <v>32</v>
      </c>
      <c r="F5">
        <v>4.5</v>
      </c>
      <c r="G5" s="4">
        <v>719</v>
      </c>
      <c r="H5" t="s">
        <v>125</v>
      </c>
      <c r="I5" t="s">
        <v>119</v>
      </c>
    </row>
    <row r="6" spans="1:10" x14ac:dyDescent="0.25">
      <c r="A6" t="s">
        <v>6</v>
      </c>
      <c r="B6" s="4">
        <v>2319</v>
      </c>
      <c r="C6" s="4">
        <v>3032</v>
      </c>
      <c r="D6" s="8">
        <v>0.24</v>
      </c>
      <c r="E6">
        <v>55</v>
      </c>
      <c r="F6">
        <v>4.5999999999999996</v>
      </c>
      <c r="G6" s="4">
        <v>713</v>
      </c>
      <c r="H6" t="s">
        <v>125</v>
      </c>
      <c r="I6" t="s">
        <v>119</v>
      </c>
    </row>
    <row r="7" spans="1:10" x14ac:dyDescent="0.25">
      <c r="A7" t="s">
        <v>33</v>
      </c>
      <c r="B7" s="4">
        <v>1940</v>
      </c>
      <c r="C7" s="4">
        <v>2650</v>
      </c>
      <c r="D7" s="8">
        <v>0.27</v>
      </c>
      <c r="E7">
        <v>20</v>
      </c>
      <c r="F7">
        <v>4.7</v>
      </c>
      <c r="G7" s="4">
        <v>710</v>
      </c>
      <c r="H7" t="s">
        <v>125</v>
      </c>
      <c r="I7" t="s">
        <v>119</v>
      </c>
    </row>
    <row r="8" spans="1:10" x14ac:dyDescent="0.25">
      <c r="A8" t="s">
        <v>11</v>
      </c>
      <c r="B8" s="4">
        <v>990</v>
      </c>
      <c r="C8" s="4">
        <v>1500</v>
      </c>
      <c r="D8" s="8">
        <v>0.34</v>
      </c>
      <c r="E8">
        <v>39</v>
      </c>
      <c r="F8">
        <v>4.7</v>
      </c>
      <c r="G8" s="4">
        <v>510</v>
      </c>
      <c r="H8" t="s">
        <v>125</v>
      </c>
      <c r="I8" t="s">
        <v>119</v>
      </c>
    </row>
    <row r="9" spans="1:10" x14ac:dyDescent="0.25">
      <c r="A9" t="s">
        <v>61</v>
      </c>
      <c r="B9" s="4">
        <v>445</v>
      </c>
      <c r="C9" s="4">
        <v>873</v>
      </c>
      <c r="D9" s="8">
        <v>0.49</v>
      </c>
      <c r="E9">
        <v>69</v>
      </c>
      <c r="F9">
        <v>2.8</v>
      </c>
      <c r="G9" s="4">
        <v>428</v>
      </c>
      <c r="H9" t="s">
        <v>123</v>
      </c>
      <c r="I9" t="s">
        <v>127</v>
      </c>
    </row>
    <row r="10" spans="1:10" x14ac:dyDescent="0.25">
      <c r="A10" t="s">
        <v>37</v>
      </c>
      <c r="B10" s="4">
        <v>389</v>
      </c>
      <c r="C10" s="4">
        <v>656</v>
      </c>
      <c r="D10" s="8">
        <v>0.41</v>
      </c>
      <c r="E10">
        <v>36</v>
      </c>
      <c r="F10">
        <v>4.3</v>
      </c>
      <c r="G10" s="4">
        <v>267</v>
      </c>
      <c r="H10" t="s">
        <v>124</v>
      </c>
      <c r="I10" t="s">
        <v>127</v>
      </c>
    </row>
    <row r="11" spans="1:10" x14ac:dyDescent="0.25">
      <c r="A11" t="s">
        <v>25</v>
      </c>
      <c r="B11" s="4">
        <v>420</v>
      </c>
      <c r="C11" s="4">
        <v>647</v>
      </c>
      <c r="D11" s="8">
        <v>0.35</v>
      </c>
      <c r="E11">
        <v>49</v>
      </c>
      <c r="F11">
        <v>4.5999999999999996</v>
      </c>
      <c r="G11" s="4">
        <v>227</v>
      </c>
      <c r="H11" t="s">
        <v>125</v>
      </c>
      <c r="I11" t="s">
        <v>119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F3DE-1D18-416D-B6B6-3E4B01FD02CC}">
  <dimension ref="A1:J10"/>
  <sheetViews>
    <sheetView workbookViewId="0">
      <selection sqref="A1:XFD1"/>
    </sheetView>
  </sheetViews>
  <sheetFormatPr defaultRowHeight="15" x14ac:dyDescent="0.25"/>
  <cols>
    <col min="1" max="1" width="72.140625" bestFit="1" customWidth="1"/>
    <col min="2" max="2" width="14.85546875" bestFit="1" customWidth="1"/>
    <col min="3" max="3" width="10" bestFit="1" customWidth="1"/>
    <col min="4" max="4" width="22.7109375" bestFit="1" customWidth="1"/>
    <col min="5" max="5" width="8" bestFit="1" customWidth="1"/>
    <col min="6" max="6" width="9.7109375" bestFit="1" customWidth="1"/>
    <col min="7" max="7" width="29.28515625" bestFit="1" customWidth="1"/>
    <col min="8" max="8" width="18.140625" bestFit="1" customWidth="1"/>
    <col min="9" max="9" width="19.85546875" bestFit="1" customWidth="1"/>
  </cols>
  <sheetData>
    <row r="1" spans="1:10" x14ac:dyDescent="0.25">
      <c r="A1" s="2" t="s">
        <v>109</v>
      </c>
      <c r="B1" s="3" t="s">
        <v>110</v>
      </c>
      <c r="C1" s="3" t="s">
        <v>111</v>
      </c>
      <c r="D1" s="7" t="s">
        <v>113</v>
      </c>
      <c r="E1" s="2" t="s">
        <v>112</v>
      </c>
      <c r="F1" s="2" t="s">
        <v>122</v>
      </c>
      <c r="G1" s="2" t="s">
        <v>115</v>
      </c>
      <c r="H1" s="2" t="s">
        <v>116</v>
      </c>
      <c r="I1" s="2" t="s">
        <v>114</v>
      </c>
      <c r="J1" s="10"/>
    </row>
    <row r="2" spans="1:10" x14ac:dyDescent="0.25">
      <c r="A2" t="s">
        <v>60</v>
      </c>
      <c r="B2" s="4">
        <v>2115</v>
      </c>
      <c r="C2" s="4">
        <v>4700</v>
      </c>
      <c r="D2" s="8">
        <v>0.55000000000000004</v>
      </c>
      <c r="E2">
        <v>13</v>
      </c>
      <c r="F2">
        <v>2.1</v>
      </c>
      <c r="G2" s="4">
        <f>C2-B2</f>
        <v>2585</v>
      </c>
      <c r="H2" t="str">
        <f>IF(F2&lt;3,"Poor",IF(F2&lt;4.5,"Average","Excellent"))</f>
        <v>Poor</v>
      </c>
      <c r="I2" t="str">
        <f>IF(D2&lt;20%,"Low Discount",IF(D2&lt;41%,"Medium Discount","High Discount"))</f>
        <v>High Discount</v>
      </c>
    </row>
    <row r="3" spans="1:10" x14ac:dyDescent="0.25">
      <c r="A3" t="s">
        <v>24</v>
      </c>
      <c r="B3" s="4">
        <v>2048</v>
      </c>
      <c r="C3" s="4">
        <v>4500</v>
      </c>
      <c r="D3" s="8">
        <v>0.54</v>
      </c>
      <c r="E3">
        <v>7</v>
      </c>
      <c r="F3">
        <v>4.3</v>
      </c>
      <c r="G3" s="4">
        <f>C3-B3</f>
        <v>2452</v>
      </c>
      <c r="H3" t="str">
        <f>IF(F3&lt;3,"Poor",IF(F3&lt;4.5,"Average","Excellent"))</f>
        <v>Average</v>
      </c>
      <c r="I3" t="str">
        <f>IF(D3&lt;20%,"Low Discount",IF(D3&lt;41%,"Medium Discount","High Discount"))</f>
        <v>High Discount</v>
      </c>
    </row>
    <row r="4" spans="1:10" x14ac:dyDescent="0.25">
      <c r="A4" t="s">
        <v>66</v>
      </c>
      <c r="B4" s="4">
        <v>3750</v>
      </c>
      <c r="C4" s="4">
        <v>6143</v>
      </c>
      <c r="D4" s="8">
        <v>0.39</v>
      </c>
      <c r="E4">
        <v>5</v>
      </c>
      <c r="F4">
        <v>3</v>
      </c>
      <c r="G4" s="4">
        <f>C4-B4</f>
        <v>2393</v>
      </c>
      <c r="H4" t="str">
        <f>IF(F4&lt;3,"Poor",IF(F4&lt;4.5,"Average","Excellent"))</f>
        <v>Average</v>
      </c>
      <c r="I4" t="str">
        <f>IF(D4&lt;20%,"Low Discount",IF(D4&lt;41%,"Medium Discount","High Discount"))</f>
        <v>Medium Discount</v>
      </c>
    </row>
    <row r="5" spans="1:10" x14ac:dyDescent="0.25">
      <c r="A5" t="s">
        <v>17</v>
      </c>
      <c r="B5" s="4">
        <v>2025</v>
      </c>
      <c r="C5" s="4">
        <v>3971</v>
      </c>
      <c r="D5" s="8">
        <v>0.49</v>
      </c>
      <c r="E5">
        <v>3</v>
      </c>
      <c r="F5">
        <v>5</v>
      </c>
      <c r="G5" s="4">
        <f>C5-B5</f>
        <v>1946</v>
      </c>
      <c r="H5" t="str">
        <f>IF(F5&lt;3,"Poor",IF(F5&lt;4.5,"Average","Excellent"))</f>
        <v>Excellent</v>
      </c>
      <c r="I5" t="str">
        <f>IF(D5&lt;20%,"Low Discount",IF(D5&lt;41%,"Medium Discount","High Discount"))</f>
        <v>High Discount</v>
      </c>
    </row>
    <row r="6" spans="1:10" x14ac:dyDescent="0.25">
      <c r="A6" t="s">
        <v>29</v>
      </c>
      <c r="B6" s="4">
        <v>2200</v>
      </c>
      <c r="C6" s="4">
        <v>4080</v>
      </c>
      <c r="D6" s="8">
        <v>0.46</v>
      </c>
      <c r="G6" s="4">
        <f>C6-B6</f>
        <v>1880</v>
      </c>
      <c r="H6" t="str">
        <f>IF(F6&lt;3,"Poor",IF(F6&lt;4.5,"Average","Excellent"))</f>
        <v>Poor</v>
      </c>
      <c r="I6" t="str">
        <f>IF(D6&lt;20%,"Low Discount",IF(D6&lt;41%,"Medium Discount","High Discount"))</f>
        <v>High Discount</v>
      </c>
    </row>
    <row r="7" spans="1:10" x14ac:dyDescent="0.25">
      <c r="A7" t="s">
        <v>39</v>
      </c>
      <c r="B7" s="4">
        <v>2750</v>
      </c>
      <c r="C7" s="4">
        <v>4471</v>
      </c>
      <c r="D7" s="8">
        <v>0.38</v>
      </c>
      <c r="G7" s="4">
        <f>C7-B7</f>
        <v>1721</v>
      </c>
      <c r="H7" t="str">
        <f>IF(F7&lt;3,"Poor",IF(F7&lt;4.5,"Average","Excellent"))</f>
        <v>Poor</v>
      </c>
      <c r="I7" t="str">
        <f>IF(D7&lt;20%,"Low Discount",IF(D7&lt;41%,"Medium Discount","High Discount"))</f>
        <v>Medium Discount</v>
      </c>
    </row>
    <row r="8" spans="1:10" x14ac:dyDescent="0.25">
      <c r="A8" t="s">
        <v>32</v>
      </c>
      <c r="B8" s="4">
        <v>1820</v>
      </c>
      <c r="C8" s="4">
        <v>3490</v>
      </c>
      <c r="D8" s="8">
        <v>0.48</v>
      </c>
      <c r="E8">
        <v>9</v>
      </c>
      <c r="F8">
        <v>4.3</v>
      </c>
      <c r="G8" s="4">
        <f>C8-B8</f>
        <v>1670</v>
      </c>
      <c r="H8" t="str">
        <f>IF(F8&lt;3,"Poor",IF(F8&lt;4.5,"Average","Excellent"))</f>
        <v>Average</v>
      </c>
      <c r="I8" t="str">
        <f>IF(D8&lt;20%,"Low Discount",IF(D8&lt;41%,"Medium Discount","High Discount"))</f>
        <v>High Discount</v>
      </c>
    </row>
    <row r="9" spans="1:10" x14ac:dyDescent="0.25">
      <c r="A9" t="s">
        <v>8</v>
      </c>
      <c r="B9" s="4">
        <v>1274</v>
      </c>
      <c r="C9" s="4">
        <v>2800</v>
      </c>
      <c r="D9" s="8">
        <v>0.55000000000000004</v>
      </c>
      <c r="E9">
        <v>5</v>
      </c>
      <c r="F9">
        <v>4.8</v>
      </c>
      <c r="G9" s="4">
        <f>C9-B9</f>
        <v>1526</v>
      </c>
      <c r="H9" t="str">
        <f>IF(F9&lt;3,"Poor",IF(F9&lt;4.5,"Average","Excellent"))</f>
        <v>Excellent</v>
      </c>
      <c r="I9" t="str">
        <f>IF(D9&lt;20%,"Low Discount",IF(D9&lt;41%,"Medium Discount","High Discount"))</f>
        <v>High Discount</v>
      </c>
    </row>
    <row r="10" spans="1:10" x14ac:dyDescent="0.25">
      <c r="A10" t="s">
        <v>72</v>
      </c>
      <c r="B10" s="4">
        <v>1570</v>
      </c>
      <c r="C10" s="4">
        <v>2988</v>
      </c>
      <c r="D10" s="8">
        <v>0.47</v>
      </c>
      <c r="E10">
        <v>7</v>
      </c>
      <c r="F10">
        <v>2.1</v>
      </c>
      <c r="G10" s="4">
        <f>C10-B10</f>
        <v>1418</v>
      </c>
      <c r="H10" t="str">
        <f>IF(F10&lt;3,"Poor",IF(F10&lt;4.5,"Average","Excellent"))</f>
        <v>Poor</v>
      </c>
      <c r="I10" t="str">
        <f>IF(D10&lt;20%,"Low Discount",IF(D10&lt;41%,"Medium Discount","High Discount"))</f>
        <v>High Discount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Excel_jumia_dataset(AutoRecover</vt:lpstr>
      <vt:lpstr>Excel_jumia_dataset</vt:lpstr>
      <vt:lpstr>Ave rate &amp; discount percentage</vt:lpstr>
      <vt:lpstr>AVE RATING &amp; REVIEWS</vt:lpstr>
      <vt:lpstr>AVE REVIEW RELATION WITH RATING</vt:lpstr>
      <vt:lpstr>DISCOUNT % &amp; REVIEW RELATION</vt:lpstr>
      <vt:lpstr>TOP 10 HIGHEST RATING</vt:lpstr>
      <vt:lpstr>TOP 10 HIGHEST REVIEW</vt:lpstr>
      <vt:lpstr>TOP 10 Highest discount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Mbatha</dc:creator>
  <cp:lastModifiedBy>Eugene Mbatha</cp:lastModifiedBy>
  <dcterms:created xsi:type="dcterms:W3CDTF">2026-06-12T11:36:22Z</dcterms:created>
  <dcterms:modified xsi:type="dcterms:W3CDTF">2026-06-12T11:39:21Z</dcterms:modified>
</cp:coreProperties>
</file>